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eeba333295eeb92/1.   Oportunidad de Digitacion SIS/"/>
    </mc:Choice>
  </mc:AlternateContent>
  <xr:revisionPtr revIDLastSave="1231" documentId="8_{A8203A28-D507-42D5-BB0F-5EBE49065522}" xr6:coauthVersionLast="47" xr6:coauthVersionMax="47" xr10:uidLastSave="{B1C28EC5-FC1F-4BAF-9399-E8A6EAD04290}"/>
  <bookViews>
    <workbookView xWindow="-48" yWindow="-48" windowWidth="23136" windowHeight="12336" activeTab="2" xr2:uid="{00000000-000D-0000-FFFF-FFFF00000000}"/>
  </bookViews>
  <sheets>
    <sheet name="Oportunidad_Anual" sheetId="1" r:id="rId1"/>
    <sheet name="Oportunidad_Mensual" sheetId="5" r:id="rId2"/>
    <sheet name="Data_Mensual" sheetId="4" r:id="rId3"/>
    <sheet name="Data_Anual" sheetId="3" r:id="rId4"/>
    <sheet name="Hoja1" sheetId="6" state="hidden" r:id="rId5"/>
    <sheet name="Grafico Por PPDD-Mes" sheetId="7" r:id="rId6"/>
    <sheet name="Grafico Produccion Por Año" sheetId="8" r:id="rId7"/>
    <sheet name="Tablas" sheetId="2" r:id="rId8"/>
  </sheets>
  <definedNames>
    <definedName name="_xlnm._FilterDatabase" localSheetId="3" hidden="1">Data_Anual!$A$1:$I$598</definedName>
    <definedName name="_xlnm.Print_Area" localSheetId="0">Oportunidad_Anual!$A$1:$I$28</definedName>
    <definedName name="_xlnm.Print_Area" localSheetId="1">Oportunidad_Mensual!$A$1:$I$30</definedName>
    <definedName name="_xlnm.Database" localSheetId="1">Oportunidad_Mensual!$B$3:$F$19</definedName>
    <definedName name="_xlnm.Database">Oportunidad_Anual!$B$3:$F$20</definedName>
  </definedNames>
  <calcPr calcId="191029"/>
  <pivotCaches>
    <pivotCache cacheId="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77" i="4" l="1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G736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A690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68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M4" i="5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A530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A593" i="4" l="1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A570" i="4" l="1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29" i="3" l="1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A485" i="3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64" i="3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A464" i="4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01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A380" i="3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59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A317" i="4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7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A275" i="4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54" i="3"/>
  <c r="A254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33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A254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33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12" i="4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191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191" i="3"/>
  <c r="F6" i="6"/>
  <c r="F5" i="6"/>
  <c r="D4" i="6"/>
  <c r="C4" i="6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2" i="4"/>
  <c r="N1" i="5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2" i="3"/>
  <c r="N1" i="1"/>
  <c r="M5" i="5" l="1"/>
  <c r="M17" i="5"/>
  <c r="M6" i="5"/>
  <c r="M18" i="5"/>
  <c r="M7" i="5"/>
  <c r="M19" i="5"/>
  <c r="M15" i="5"/>
  <c r="M8" i="5"/>
  <c r="M20" i="5"/>
  <c r="M9" i="5"/>
  <c r="M21" i="5"/>
  <c r="M26" i="5"/>
  <c r="M10" i="5"/>
  <c r="M22" i="5"/>
  <c r="M11" i="5"/>
  <c r="M23" i="5"/>
  <c r="M14" i="5"/>
  <c r="M16" i="5"/>
  <c r="M12" i="5"/>
  <c r="M24" i="5"/>
  <c r="M13" i="5"/>
  <c r="M25" i="5"/>
  <c r="M4" i="1"/>
  <c r="A1" i="5"/>
  <c r="M27" i="5"/>
  <c r="A1" i="1"/>
  <c r="F21" i="5" l="1"/>
  <c r="F19" i="5"/>
  <c r="F17" i="5"/>
  <c r="F23" i="5"/>
  <c r="F4" i="5"/>
  <c r="F15" i="5"/>
  <c r="F25" i="5"/>
  <c r="F14" i="5"/>
  <c r="F9" i="5"/>
  <c r="F12" i="5"/>
  <c r="F22" i="5"/>
  <c r="F11" i="5"/>
  <c r="F26" i="5"/>
  <c r="F18" i="5"/>
  <c r="F6" i="5"/>
  <c r="F24" i="5"/>
  <c r="F13" i="5"/>
  <c r="F8" i="5"/>
  <c r="F5" i="5"/>
  <c r="F7" i="5"/>
  <c r="F16" i="5"/>
  <c r="F20" i="5"/>
  <c r="D14" i="1"/>
  <c r="E14" i="1"/>
  <c r="D21" i="1"/>
  <c r="E21" i="1"/>
  <c r="D13" i="1"/>
  <c r="E13" i="1"/>
  <c r="F20" i="1"/>
  <c r="D20" i="1"/>
  <c r="E20" i="1"/>
  <c r="D24" i="1"/>
  <c r="E24" i="1"/>
  <c r="D16" i="1"/>
  <c r="E16" i="1"/>
  <c r="D19" i="1"/>
  <c r="E19" i="1"/>
  <c r="E18" i="1"/>
  <c r="D18" i="1"/>
  <c r="D9" i="1"/>
  <c r="E9" i="1"/>
  <c r="D25" i="1"/>
  <c r="E25" i="1"/>
  <c r="D17" i="1"/>
  <c r="E17" i="1"/>
  <c r="D11" i="1"/>
  <c r="E11" i="1"/>
  <c r="F7" i="1"/>
  <c r="E7" i="1"/>
  <c r="D7" i="1"/>
  <c r="E5" i="1"/>
  <c r="D5" i="1"/>
  <c r="D23" i="1"/>
  <c r="E23" i="1"/>
  <c r="D26" i="1"/>
  <c r="E26" i="1"/>
  <c r="D6" i="1"/>
  <c r="E6" i="1"/>
  <c r="D12" i="1"/>
  <c r="E12" i="1"/>
  <c r="D22" i="1"/>
  <c r="E22" i="1"/>
  <c r="D10" i="1"/>
  <c r="E10" i="1"/>
  <c r="D8" i="1"/>
  <c r="E8" i="1"/>
  <c r="D4" i="1"/>
  <c r="E4" i="1"/>
  <c r="E15" i="1"/>
  <c r="D15" i="1"/>
  <c r="E22" i="5"/>
  <c r="D22" i="5"/>
  <c r="D11" i="5"/>
  <c r="E11" i="5"/>
  <c r="D7" i="5"/>
  <c r="E7" i="5"/>
  <c r="F16" i="1"/>
  <c r="F9" i="1"/>
  <c r="F10" i="1"/>
  <c r="F17" i="1"/>
  <c r="D18" i="5"/>
  <c r="E21" i="5"/>
  <c r="D21" i="5"/>
  <c r="D14" i="5"/>
  <c r="E26" i="5"/>
  <c r="D13" i="5"/>
  <c r="E4" i="5"/>
  <c r="D9" i="5"/>
  <c r="D24" i="5"/>
  <c r="D16" i="5"/>
  <c r="E18" i="5"/>
  <c r="E24" i="5"/>
  <c r="D26" i="5"/>
  <c r="E8" i="5"/>
  <c r="E25" i="5"/>
  <c r="D19" i="5"/>
  <c r="D10" i="5"/>
  <c r="E12" i="5"/>
  <c r="E20" i="5"/>
  <c r="F10" i="5"/>
  <c r="E6" i="5"/>
  <c r="D4" i="5"/>
  <c r="E17" i="5"/>
  <c r="E14" i="5"/>
  <c r="D17" i="5"/>
  <c r="D12" i="5"/>
  <c r="D15" i="5"/>
  <c r="D25" i="5"/>
  <c r="D20" i="5"/>
  <c r="E16" i="5"/>
  <c r="E15" i="5"/>
  <c r="E9" i="5"/>
  <c r="E10" i="5"/>
  <c r="E5" i="5"/>
  <c r="D8" i="5"/>
  <c r="D23" i="5"/>
  <c r="E23" i="5"/>
  <c r="E13" i="5"/>
  <c r="E19" i="5"/>
  <c r="D6" i="5"/>
  <c r="D5" i="5"/>
  <c r="F23" i="1"/>
  <c r="F12" i="1"/>
  <c r="F11" i="1"/>
  <c r="F21" i="1"/>
  <c r="F26" i="1"/>
  <c r="F19" i="1"/>
  <c r="F14" i="1"/>
  <c r="F5" i="1"/>
  <c r="F15" i="1"/>
  <c r="F18" i="1"/>
  <c r="F6" i="1"/>
  <c r="F22" i="1"/>
  <c r="F13" i="1"/>
  <c r="F8" i="1"/>
  <c r="F24" i="1"/>
  <c r="F4" i="1"/>
  <c r="F25" i="1"/>
  <c r="E28" i="5" l="1"/>
  <c r="D28" i="5"/>
  <c r="D28" i="1"/>
  <c r="E28" i="1"/>
  <c r="F28" i="5" l="1"/>
  <c r="F28" i="1"/>
</calcChain>
</file>

<file path=xl/sharedStrings.xml><?xml version="1.0" encoding="utf-8"?>
<sst xmlns="http://schemas.openxmlformats.org/spreadsheetml/2006/main" count="3250" uniqueCount="80">
  <si>
    <t>Nro.</t>
  </si>
  <si>
    <t>Codigo Punto de Digitacion</t>
  </si>
  <si>
    <t>Punto de Digitacion</t>
  </si>
  <si>
    <t>FUAs Digitados Oportunamente</t>
  </si>
  <si>
    <t>Total FUAs Digitados</t>
  </si>
  <si>
    <t>Indicador</t>
  </si>
  <si>
    <t>C.S. PLENITUD</t>
  </si>
  <si>
    <t>MICRORED NARANJITO</t>
  </si>
  <si>
    <t>%</t>
  </si>
  <si>
    <t>C.S. PIMPINCOS</t>
  </si>
  <si>
    <t>Bueno</t>
  </si>
  <si>
    <t>75-100</t>
  </si>
  <si>
    <t>C.S. SILLANGATE</t>
  </si>
  <si>
    <t>Regular</t>
  </si>
  <si>
    <t>60-74</t>
  </si>
  <si>
    <t>C.S. NUEVO ORIENTE</t>
  </si>
  <si>
    <t>En Proceso</t>
  </si>
  <si>
    <t>25-59</t>
  </si>
  <si>
    <t>C.S. CHIPLE</t>
  </si>
  <si>
    <t>Malo</t>
  </si>
  <si>
    <t>0-24</t>
  </si>
  <si>
    <t>C.S. SAN JUAN DE CUTERVO</t>
  </si>
  <si>
    <t>C.S. CUJILLO</t>
  </si>
  <si>
    <t>C.S. LA RAMADA</t>
  </si>
  <si>
    <t>C.S. SAN LUIS DE LUCMA</t>
  </si>
  <si>
    <t>C.S. QUEROCOTILLO</t>
  </si>
  <si>
    <t>C.S. MAMABAMBA</t>
  </si>
  <si>
    <t>HOSP. SANTA MARIA DE CUTERVO</t>
  </si>
  <si>
    <t>C.S. SALOMON VILCHEZ MURGA</t>
  </si>
  <si>
    <t>C.S. SANTA CRUZ</t>
  </si>
  <si>
    <t>C.S. CHOROS</t>
  </si>
  <si>
    <t>C.S. SOCOTA</t>
  </si>
  <si>
    <t>C.S. SANTO DOMINGO DE LA CAPILLA</t>
  </si>
  <si>
    <t>C.S. SANTO TOMAS</t>
  </si>
  <si>
    <t>C.S. CALLAYUC</t>
  </si>
  <si>
    <t>C.S. SAN ANDRES DE CUTERVO</t>
  </si>
  <si>
    <t>TOTAL DISA</t>
  </si>
  <si>
    <t>Mes</t>
  </si>
  <si>
    <t>Año</t>
  </si>
  <si>
    <t>P.S. MAMABAMBA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</si>
  <si>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</si>
  <si>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</si>
  <si>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</si>
  <si>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</si>
  <si>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</si>
  <si>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</si>
  <si>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</si>
  <si>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</si>
  <si>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</si>
  <si>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</si>
  <si>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</si>
  <si>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</si>
  <si>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r>
      <rPr>
        <b/>
        <sz val="11"/>
        <color rgb="FFFF0000"/>
        <rFont val="Arial"/>
        <family val="2"/>
      </rPr>
      <t>dFechaCorteFin</t>
    </r>
    <r>
      <rPr>
        <sz val="11"/>
        <color theme="1"/>
        <rFont val="Arial"/>
        <family val="2"/>
      </rPr>
      <t>=TTOD(thisform.ctrDateTimePickerStart.value)</t>
    </r>
  </si>
  <si>
    <t>dFechaCorteFin</t>
  </si>
  <si>
    <r>
      <rPr>
        <b/>
        <sz val="11"/>
        <color theme="8" tint="-0.249977111117893"/>
        <rFont val="Arial"/>
        <family val="2"/>
      </rPr>
      <t>dFechaNacimM1aFin</t>
    </r>
    <r>
      <rPr>
        <sz val="11"/>
        <color theme="1"/>
        <rFont val="Arial"/>
        <family val="2"/>
      </rPr>
      <t>=</t>
    </r>
    <r>
      <rPr>
        <b/>
        <sz val="11"/>
        <color rgb="FFFF0000"/>
        <rFont val="Arial"/>
        <family val="2"/>
      </rPr>
      <t>dFechaCorteFin</t>
    </r>
    <r>
      <rPr>
        <sz val="11"/>
        <color theme="1"/>
        <rFont val="Arial"/>
        <family val="2"/>
      </rPr>
      <t>-365</t>
    </r>
  </si>
  <si>
    <t>dFechaNacimM1aFin</t>
  </si>
  <si>
    <r>
      <t xml:space="preserve">  SELECT * from s_aseg_actual WHERE </t>
    </r>
    <r>
      <rPr>
        <b/>
        <sz val="10"/>
        <color rgb="FF00B050"/>
        <rFont val="Arial"/>
        <family val="2"/>
      </rPr>
      <t>afi_fecnac</t>
    </r>
    <r>
      <rPr>
        <sz val="10"/>
        <color theme="1"/>
        <rFont val="Arial"/>
        <family val="2"/>
      </rPr>
      <t xml:space="preserve"> between </t>
    </r>
    <r>
      <rPr>
        <b/>
        <sz val="10"/>
        <color rgb="FFFF0000"/>
        <rFont val="Arial"/>
        <family val="2"/>
      </rPr>
      <t>dFechaNacimM1aFin</t>
    </r>
    <r>
      <rPr>
        <sz val="10"/>
        <color theme="1"/>
        <rFont val="Arial"/>
        <family val="2"/>
      </rPr>
      <t xml:space="preserve"> AND </t>
    </r>
    <r>
      <rPr>
        <b/>
        <sz val="10"/>
        <color rgb="FF0070C0"/>
        <rFont val="Arial"/>
        <family val="2"/>
      </rPr>
      <t xml:space="preserve">DATE() </t>
    </r>
    <r>
      <rPr>
        <sz val="10"/>
        <color theme="1"/>
        <rFont val="Arial"/>
        <family val="2"/>
      </rPr>
      <t>and ALLTRIM(activo) like "SI" AND VAL(afi_dni)&gt;0;</t>
    </r>
  </si>
  <si>
    <t>Asegurados Menores de 1 Año hasta la fecha actual</t>
  </si>
  <si>
    <t xml:space="preserve">   into TABLE TmpEvalPorFecNac</t>
  </si>
  <si>
    <t>Etiquetas de fila</t>
  </si>
  <si>
    <t>Suma de Indicador</t>
  </si>
  <si>
    <t>Total general</t>
  </si>
  <si>
    <t>Meses</t>
  </si>
  <si>
    <t>Años</t>
  </si>
  <si>
    <t>Suma de Total FUAs Digitados</t>
  </si>
  <si>
    <t>C.S. SUMIDERO</t>
  </si>
  <si>
    <t>C.S. SACILIA</t>
  </si>
  <si>
    <t>C.S. SINCHIMACHE</t>
  </si>
  <si>
    <t>12163</t>
  </si>
  <si>
    <t>12166</t>
  </si>
  <si>
    <t>12165</t>
  </si>
  <si>
    <t>Indicador *Oportunidad Anual de Digitación SIS*. Corte del 01-01-2025 al 31-03-2025.</t>
  </si>
  <si>
    <t>Indicador *Oportunidad Mensual de Digitación SIS (a 10 Días)*. Corte del 01-03-2025 al 31-03-2025</t>
  </si>
  <si>
    <t>Formula</t>
  </si>
  <si>
    <t>Nro</t>
  </si>
  <si>
    <t>Ppdd</t>
  </si>
  <si>
    <t>CodPpdd</t>
  </si>
  <si>
    <t>Oportunos</t>
  </si>
  <si>
    <t>Total_Fuas</t>
  </si>
  <si>
    <t xml:space="preserve">Mayo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</si>
</sst>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9"/>
      <color theme="1"/>
      <name val="Arial"/>
      <family val="2"/>
    </font>
    <font>
      <sz val="8"/>
      <name val="Calibri"/>
      <family val="2"/>
      <scheme val="minor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rgb="FFFF0000"/>
      <name val="Arial"/>
      <family val="2"/>
    </font>
    <font>
      <b/>
      <sz val="11"/>
      <color theme="8" tint="-0.249977111117893"/>
      <name val="Arial"/>
      <family val="2"/>
    </font>
    <font>
      <b/>
      <sz val="10"/>
      <color rgb="FF00B050"/>
      <name val="Arial"/>
      <family val="2"/>
    </font>
    <font>
      <b/>
      <sz val="10"/>
      <color rgb="FF0070C0"/>
      <name val="Arial"/>
      <family val="2"/>
    </font>
    <font>
      <b/>
      <sz val="12"/>
      <color theme="1"/>
      <name val="Bahnschrift Light"/>
      <family val="2"/>
    </font>
    <font>
      <sz val="9"/>
      <color theme="1"/>
      <name val="Bahnschrift Light"/>
      <family val="2"/>
    </font>
    <font>
      <b/>
      <sz val="10"/>
      <color theme="1"/>
      <name val="Bahnschrift Light"/>
      <family val="2"/>
    </font>
    <font>
      <sz val="10"/>
      <color theme="1"/>
      <name val="Bahnschrift Light"/>
      <family val="2"/>
    </font>
    <font>
      <sz val="12"/>
      <color theme="1"/>
      <name val="Bahnschrift Light"/>
      <family val="2"/>
    </font>
    <font>
      <b/>
      <sz val="12"/>
      <color rgb="FFFF0000"/>
      <name val="Bahnschrift Light"/>
      <family val="2"/>
    </font>
    <font>
      <b/>
      <sz val="12"/>
      <color theme="0"/>
      <name val="Bahnschrift Light"/>
      <family val="2"/>
    </font>
    <font>
      <b/>
      <sz val="16"/>
      <color theme="1"/>
      <name val="Bahnschrift Light"/>
      <family val="2"/>
    </font>
    <font>
      <b/>
      <sz val="15"/>
      <color theme="1"/>
      <name val="Bahnschrift Light"/>
      <family val="2"/>
    </font>
    <font>
      <sz val="11"/>
      <color theme="1"/>
      <name val="Bahnschrift Light"/>
      <family val="2"/>
    </font>
    <font>
      <sz val="9"/>
      <color theme="1"/>
      <name val="Arial Rounded MT Bold"/>
    </font>
    <font>
      <b/>
      <sz val="9"/>
      <color theme="1"/>
      <name val="Bahnschrift"/>
      <family val="2"/>
    </font>
    <font>
      <sz val="11"/>
      <color theme="1"/>
      <name val="Bahnschrift"/>
      <family val="2"/>
    </font>
    <font>
      <sz val="9"/>
      <color theme="1"/>
      <name val="Bahnschrift"/>
      <family val="2"/>
    </font>
    <font>
      <sz val="11"/>
      <color rgb="FF000000"/>
      <name val="Bahnschrift Light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7C8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</borders>
  <cellStyleXfs count="5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4" borderId="0" applyNumberFormat="0" applyBorder="0" applyAlignment="0" applyProtection="0"/>
    <xf numFmtId="0" fontId="17" fillId="12" borderId="0" applyNumberFormat="0" applyBorder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83">
    <xf numFmtId="0" fontId="0" fillId="0" borderId="0" xfId="0"/>
    <xf numFmtId="0" fontId="19" fillId="0" borderId="0" xfId="0" applyFont="1"/>
    <xf numFmtId="0" fontId="19" fillId="0" borderId="0" xfId="0" applyFont="1" applyAlignment="1">
      <alignment horizontal="center"/>
    </xf>
    <xf numFmtId="14" fontId="23" fillId="0" borderId="0" xfId="0" applyNumberFormat="1" applyFont="1"/>
    <xf numFmtId="14" fontId="23" fillId="0" borderId="0" xfId="0" applyNumberFormat="1" applyFont="1" applyAlignment="1">
      <alignment horizontal="center"/>
    </xf>
    <xf numFmtId="0" fontId="23" fillId="0" borderId="0" xfId="0" applyFont="1"/>
    <xf numFmtId="0" fontId="23" fillId="0" borderId="0" xfId="0" applyFont="1" applyAlignment="1">
      <alignment horizontal="left"/>
    </xf>
    <xf numFmtId="0" fontId="24" fillId="0" borderId="0" xfId="0" applyFont="1"/>
    <xf numFmtId="0" fontId="25" fillId="0" borderId="0" xfId="0" applyFont="1" applyAlignment="1">
      <alignment horizontal="left"/>
    </xf>
    <xf numFmtId="0" fontId="23" fillId="0" borderId="0" xfId="0" applyFont="1" applyAlignment="1">
      <alignment vertical="center" wrapText="1"/>
    </xf>
    <xf numFmtId="0" fontId="23" fillId="0" borderId="0" xfId="0" applyFont="1" applyAlignment="1">
      <alignment horizontal="center"/>
    </xf>
    <xf numFmtId="0" fontId="22" fillId="0" borderId="0" xfId="0" applyFont="1" applyAlignment="1">
      <alignment horizontal="left" vertical="center"/>
    </xf>
    <xf numFmtId="0" fontId="22" fillId="0" borderId="0" xfId="0" applyFont="1"/>
    <xf numFmtId="1" fontId="29" fillId="0" borderId="10" xfId="0" applyNumberFormat="1" applyFont="1" applyBorder="1" applyAlignment="1">
      <alignment horizontal="center"/>
    </xf>
    <xf numFmtId="1" fontId="29" fillId="0" borderId="10" xfId="0" applyNumberFormat="1" applyFont="1" applyBorder="1"/>
    <xf numFmtId="0" fontId="32" fillId="34" borderId="12" xfId="0" applyFont="1" applyFill="1" applyBorder="1"/>
    <xf numFmtId="0" fontId="32" fillId="34" borderId="13" xfId="0" applyFont="1" applyFill="1" applyBorder="1"/>
    <xf numFmtId="0" fontId="32" fillId="34" borderId="0" xfId="0" applyFont="1" applyFill="1"/>
    <xf numFmtId="0" fontId="33" fillId="34" borderId="0" xfId="0" applyFont="1" applyFill="1" applyAlignment="1">
      <alignment horizontal="center"/>
    </xf>
    <xf numFmtId="0" fontId="32" fillId="0" borderId="0" xfId="0" applyFont="1"/>
    <xf numFmtId="1" fontId="32" fillId="0" borderId="0" xfId="0" applyNumberFormat="1" applyFont="1"/>
    <xf numFmtId="1" fontId="32" fillId="34" borderId="0" xfId="0" applyNumberFormat="1" applyFont="1" applyFill="1"/>
    <xf numFmtId="2" fontId="32" fillId="34" borderId="0" xfId="0" applyNumberFormat="1" applyFont="1" applyFill="1"/>
    <xf numFmtId="0" fontId="32" fillId="34" borderId="14" xfId="0" applyFont="1" applyFill="1" applyBorder="1"/>
    <xf numFmtId="1" fontId="28" fillId="33" borderId="17" xfId="0" applyNumberFormat="1" applyFont="1" applyFill="1" applyBorder="1" applyAlignment="1">
      <alignment horizontal="center" vertical="center" wrapText="1"/>
    </xf>
    <xf numFmtId="1" fontId="32" fillId="0" borderId="10" xfId="0" applyNumberFormat="1" applyFont="1" applyBorder="1" applyAlignment="1">
      <alignment horizontal="center"/>
    </xf>
    <xf numFmtId="1" fontId="32" fillId="34" borderId="10" xfId="0" applyNumberFormat="1" applyFont="1" applyFill="1" applyBorder="1"/>
    <xf numFmtId="10" fontId="34" fillId="0" borderId="10" xfId="49" applyNumberFormat="1" applyFont="1" applyBorder="1" applyAlignment="1">
      <alignment horizontal="center"/>
    </xf>
    <xf numFmtId="0" fontId="28" fillId="34" borderId="11" xfId="0" applyFont="1" applyFill="1" applyBorder="1" applyAlignment="1">
      <alignment horizontal="center"/>
    </xf>
    <xf numFmtId="1" fontId="28" fillId="34" borderId="11" xfId="0" applyNumberFormat="1" applyFont="1" applyFill="1" applyBorder="1"/>
    <xf numFmtId="1" fontId="34" fillId="35" borderId="11" xfId="0" applyNumberFormat="1" applyFont="1" applyFill="1" applyBorder="1" applyAlignment="1">
      <alignment horizontal="center"/>
    </xf>
    <xf numFmtId="1" fontId="28" fillId="38" borderId="11" xfId="0" applyNumberFormat="1" applyFont="1" applyFill="1" applyBorder="1" applyAlignment="1">
      <alignment horizontal="center"/>
    </xf>
    <xf numFmtId="164" fontId="28" fillId="39" borderId="10" xfId="49" applyNumberFormat="1" applyFont="1" applyFill="1" applyBorder="1" applyAlignment="1">
      <alignment horizontal="center"/>
    </xf>
    <xf numFmtId="1" fontId="34" fillId="36" borderId="11" xfId="0" applyNumberFormat="1" applyFont="1" applyFill="1" applyBorder="1" applyAlignment="1">
      <alignment horizontal="center"/>
    </xf>
    <xf numFmtId="9" fontId="32" fillId="34" borderId="0" xfId="49" applyFont="1" applyFill="1"/>
    <xf numFmtId="0" fontId="32" fillId="34" borderId="0" xfId="0" applyFont="1" applyFill="1" applyAlignment="1">
      <alignment horizontal="center"/>
    </xf>
    <xf numFmtId="1" fontId="28" fillId="37" borderId="18" xfId="0" applyNumberFormat="1" applyFont="1" applyFill="1" applyBorder="1" applyAlignment="1">
      <alignment horizontal="center" vertical="center"/>
    </xf>
    <xf numFmtId="10" fontId="28" fillId="37" borderId="18" xfId="49" applyNumberFormat="1" applyFont="1" applyFill="1" applyBorder="1" applyAlignment="1">
      <alignment horizontal="center" vertical="center"/>
    </xf>
    <xf numFmtId="0" fontId="32" fillId="34" borderId="15" xfId="0" applyFont="1" applyFill="1" applyBorder="1" applyAlignment="1">
      <alignment vertical="center"/>
    </xf>
    <xf numFmtId="0" fontId="32" fillId="34" borderId="16" xfId="0" applyFont="1" applyFill="1" applyBorder="1" applyAlignment="1">
      <alignment vertical="center"/>
    </xf>
    <xf numFmtId="0" fontId="32" fillId="34" borderId="0" xfId="0" applyFont="1" applyFill="1" applyAlignment="1">
      <alignment vertical="center"/>
    </xf>
    <xf numFmtId="0" fontId="32" fillId="0" borderId="0" xfId="0" applyFont="1" applyAlignment="1">
      <alignment vertical="center"/>
    </xf>
    <xf numFmtId="1" fontId="32" fillId="34" borderId="0" xfId="0" applyNumberFormat="1" applyFont="1" applyFill="1" applyAlignment="1">
      <alignment horizontal="center"/>
    </xf>
    <xf numFmtId="2" fontId="32" fillId="0" borderId="0" xfId="0" applyNumberFormat="1" applyFont="1"/>
    <xf numFmtId="0" fontId="31" fillId="0" borderId="0" xfId="0" applyFont="1" applyAlignment="1">
      <alignment horizontal="center"/>
    </xf>
    <xf numFmtId="1" fontId="30" fillId="33" borderId="17" xfId="0" applyNumberFormat="1" applyFont="1" applyFill="1" applyBorder="1" applyAlignment="1">
      <alignment horizontal="center" vertical="center" wrapText="1"/>
    </xf>
    <xf numFmtId="1" fontId="30" fillId="33" borderId="19" xfId="0" applyNumberFormat="1" applyFont="1" applyFill="1" applyBorder="1" applyAlignment="1">
      <alignment horizontal="center" vertical="center" wrapText="1"/>
    </xf>
    <xf numFmtId="0" fontId="29" fillId="0" borderId="0" xfId="0" applyFont="1"/>
    <xf numFmtId="0" fontId="29" fillId="0" borderId="0" xfId="0" applyFont="1" applyAlignment="1">
      <alignment horizontal="center"/>
    </xf>
    <xf numFmtId="0" fontId="29" fillId="0" borderId="0" xfId="0" applyFont="1" applyAlignment="1">
      <alignment horizontal="left"/>
    </xf>
    <xf numFmtId="10" fontId="29" fillId="0" borderId="0" xfId="0" applyNumberFormat="1" applyFont="1" applyAlignment="1">
      <alignment horizontal="center"/>
    </xf>
    <xf numFmtId="0" fontId="31" fillId="0" borderId="0" xfId="0" applyFont="1" applyAlignment="1">
      <alignment horizontal="left"/>
    </xf>
    <xf numFmtId="10" fontId="31" fillId="0" borderId="0" xfId="0" applyNumberFormat="1" applyFont="1" applyAlignment="1">
      <alignment horizontal="center"/>
    </xf>
    <xf numFmtId="0" fontId="33" fillId="0" borderId="0" xfId="0" applyFont="1" applyAlignment="1">
      <alignment horizontal="center"/>
    </xf>
    <xf numFmtId="1" fontId="32" fillId="0" borderId="10" xfId="0" applyNumberFormat="1" applyFont="1" applyBorder="1"/>
    <xf numFmtId="10" fontId="33" fillId="0" borderId="10" xfId="49" applyNumberFormat="1" applyFont="1" applyBorder="1" applyAlignment="1">
      <alignment horizontal="center"/>
    </xf>
    <xf numFmtId="10" fontId="29" fillId="0" borderId="0" xfId="0" applyNumberFormat="1" applyFont="1"/>
    <xf numFmtId="10" fontId="34" fillId="0" borderId="21" xfId="49" applyNumberFormat="1" applyFont="1" applyBorder="1" applyAlignment="1">
      <alignment horizontal="center"/>
    </xf>
    <xf numFmtId="10" fontId="34" fillId="0" borderId="11" xfId="49" applyNumberFormat="1" applyFont="1" applyBorder="1" applyAlignment="1">
      <alignment horizontal="center"/>
    </xf>
    <xf numFmtId="0" fontId="29" fillId="0" borderId="0" xfId="0" pivotButton="1" applyFont="1"/>
    <xf numFmtId="0" fontId="37" fillId="0" borderId="0" xfId="0" applyFont="1"/>
    <xf numFmtId="0" fontId="38" fillId="0" borderId="0" xfId="0" pivotButton="1" applyFont="1"/>
    <xf numFmtId="0" fontId="38" fillId="0" borderId="0" xfId="0" applyFont="1" applyAlignment="1">
      <alignment horizontal="center"/>
    </xf>
    <xf numFmtId="0" fontId="38" fillId="0" borderId="0" xfId="0" applyFont="1" applyAlignment="1">
      <alignment horizontal="left"/>
    </xf>
    <xf numFmtId="1" fontId="37" fillId="0" borderId="0" xfId="0" applyNumberFormat="1" applyFont="1" applyAlignment="1">
      <alignment horizontal="center"/>
    </xf>
    <xf numFmtId="1" fontId="37" fillId="0" borderId="0" xfId="0" applyNumberFormat="1" applyFont="1"/>
    <xf numFmtId="1" fontId="32" fillId="0" borderId="19" xfId="0" applyNumberFormat="1" applyFont="1" applyBorder="1" applyAlignment="1">
      <alignment horizontal="center"/>
    </xf>
    <xf numFmtId="10" fontId="34" fillId="0" borderId="19" xfId="49" applyNumberFormat="1" applyFont="1" applyBorder="1" applyAlignment="1">
      <alignment horizontal="center"/>
    </xf>
    <xf numFmtId="1" fontId="39" fillId="33" borderId="20" xfId="0" applyNumberFormat="1" applyFont="1" applyFill="1" applyBorder="1" applyAlignment="1">
      <alignment horizontal="center" vertical="center" wrapText="1"/>
    </xf>
    <xf numFmtId="1" fontId="39" fillId="33" borderId="11" xfId="0" applyNumberFormat="1" applyFont="1" applyFill="1" applyBorder="1" applyAlignment="1">
      <alignment horizontal="center" vertical="center" wrapText="1"/>
    </xf>
    <xf numFmtId="1" fontId="32" fillId="0" borderId="19" xfId="0" applyNumberFormat="1" applyFont="1" applyBorder="1"/>
    <xf numFmtId="1" fontId="41" fillId="0" borderId="10" xfId="0" applyNumberFormat="1" applyFont="1" applyBorder="1"/>
    <xf numFmtId="1" fontId="41" fillId="0" borderId="19" xfId="0" applyNumberFormat="1" applyFont="1" applyBorder="1"/>
    <xf numFmtId="1" fontId="41" fillId="0" borderId="10" xfId="0" applyNumberFormat="1" applyFont="1" applyBorder="1" applyAlignment="1">
      <alignment horizontal="center"/>
    </xf>
    <xf numFmtId="0" fontId="40" fillId="0" borderId="0" xfId="0" applyFont="1"/>
    <xf numFmtId="1" fontId="41" fillId="0" borderId="19" xfId="0" applyNumberFormat="1" applyFont="1" applyBorder="1" applyAlignment="1">
      <alignment horizontal="center"/>
    </xf>
    <xf numFmtId="1" fontId="32" fillId="34" borderId="19" xfId="0" applyNumberFormat="1" applyFont="1" applyFill="1" applyBorder="1"/>
    <xf numFmtId="0" fontId="32" fillId="0" borderId="10" xfId="0" applyFont="1" applyBorder="1"/>
    <xf numFmtId="0" fontId="42" fillId="0" borderId="0" xfId="0" applyFont="1" applyAlignment="1">
      <alignment horizontal="center"/>
    </xf>
    <xf numFmtId="0" fontId="42" fillId="0" borderId="0" xfId="0" applyFont="1"/>
    <xf numFmtId="0" fontId="36" fillId="34" borderId="0" xfId="0" applyFont="1" applyFill="1" applyAlignment="1">
      <alignment horizontal="center" vertical="center" wrapText="1"/>
    </xf>
    <xf numFmtId="1" fontId="28" fillId="37" borderId="18" xfId="0" applyNumberFormat="1" applyFont="1" applyFill="1" applyBorder="1" applyAlignment="1">
      <alignment horizontal="center" vertical="center"/>
    </xf>
    <xf numFmtId="0" fontId="35" fillId="34" borderId="0" xfId="0" applyFont="1" applyFill="1" applyAlignment="1">
      <alignment horizontal="center"/>
    </xf>
  </cellXfs>
  <cellStyles count="50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1 2" xfId="43" xr:uid="{00000000-0005-0000-0000-00000D000000}"/>
    <cellStyle name="60% - Énfasis2" xfId="25" builtinId="36" customBuiltin="1"/>
    <cellStyle name="60% - Énfasis2 2" xfId="44" xr:uid="{00000000-0005-0000-0000-00000F000000}"/>
    <cellStyle name="60% - Énfasis3" xfId="29" builtinId="40" customBuiltin="1"/>
    <cellStyle name="60% - Énfasis3 2" xfId="45" xr:uid="{00000000-0005-0000-0000-000011000000}"/>
    <cellStyle name="60% - Énfasis4" xfId="33" builtinId="44" customBuiltin="1"/>
    <cellStyle name="60% - Énfasis4 2" xfId="46" xr:uid="{00000000-0005-0000-0000-000013000000}"/>
    <cellStyle name="60% - Énfasis5" xfId="37" builtinId="48" customBuiltin="1"/>
    <cellStyle name="60% - Énfasis5 2" xfId="47" xr:uid="{00000000-0005-0000-0000-000015000000}"/>
    <cellStyle name="60% - Énfasis6" xfId="41" builtinId="52" customBuiltin="1"/>
    <cellStyle name="60% - Énfasis6 2" xfId="48" xr:uid="{00000000-0005-0000-0000-000017000000}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eutral 2" xfId="42" xr:uid="{00000000-0005-0000-0000-000027000000}"/>
    <cellStyle name="Normal" xfId="0" builtinId="0"/>
    <cellStyle name="Notas" xfId="15" builtinId="10" customBuiltin="1"/>
    <cellStyle name="Porcentaje" xfId="49" builtinId="5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54"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7C80"/>
        </patternFill>
      </fill>
    </dxf>
    <dxf>
      <font>
        <color auto="1"/>
      </font>
      <fill>
        <patternFill>
          <bgColor rgb="FFFFCC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7C80"/>
        </patternFill>
      </fill>
    </dxf>
    <dxf>
      <font>
        <color auto="1"/>
      </font>
      <fill>
        <patternFill>
          <bgColor rgb="FFFFCC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7C80"/>
        </patternFill>
      </fill>
    </dxf>
    <dxf>
      <font>
        <color auto="1"/>
      </font>
      <fill>
        <patternFill>
          <bgColor rgb="FFFFCC00"/>
        </patternFill>
      </fill>
    </dxf>
    <dxf>
      <font>
        <color theme="0"/>
      </font>
      <fill>
        <patternFill>
          <bgColor rgb="FF00B050"/>
        </patternFill>
      </fill>
    </dxf>
    <dxf>
      <font>
        <name val="Arial Rounded MT Bold"/>
      </font>
    </dxf>
    <dxf>
      <font>
        <name val="Arial Rounded MT Bold"/>
      </font>
    </dxf>
    <dxf>
      <font>
        <name val="Arial Rounded MT Bold"/>
      </font>
    </dxf>
    <dxf>
      <font>
        <name val="Arial Rounded MT Bold"/>
      </font>
    </dxf>
    <dxf>
      <font>
        <name val="Arial Rounded MT Bold"/>
      </font>
    </dxf>
    <dxf>
      <font>
        <name val="Arial Rounded MT Bold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Bahnschrift Light"/>
        <family val="2"/>
        <scheme val="none"/>
      </font>
    </dxf>
    <dxf>
      <font>
        <name val="Bahnschrift Light"/>
        <family val="2"/>
        <scheme val="none"/>
      </font>
    </dxf>
    <dxf>
      <font>
        <name val="Bahnschrift Light"/>
        <family val="2"/>
        <scheme val="none"/>
      </font>
    </dxf>
    <dxf>
      <font>
        <name val="Bahnschrift Light"/>
        <family val="2"/>
        <scheme val="none"/>
      </font>
    </dxf>
    <dxf>
      <font>
        <name val="Bahnschrift Light"/>
        <family val="2"/>
        <scheme val="none"/>
      </font>
    </dxf>
    <dxf>
      <font>
        <name val="Bahnschrift Light"/>
        <family val="2"/>
        <scheme val="none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</dxfs>
  <tableStyles count="0" defaultTableStyle="TableStyleMedium2" defaultPivotStyle="PivotStyleLight16"/>
  <colors>
    <mruColors>
      <color rgb="FFFF5050"/>
      <color rgb="FFFF7C80"/>
      <color rgb="FFFFCC00"/>
      <color rgb="FFFFCC66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[Oportunidad_Digitacion_SIS_2025_Controles.xlsm]Grafico Por PPDD-Mes!TablaDinámica1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dk1"/>
                </a:solidFill>
                <a:latin typeface="Arial Rounded MT Bold" panose="020F0704030504030204" pitchFamily="34" charset="0"/>
                <a:ea typeface="+mn-ea"/>
                <a:cs typeface="+mn-cs"/>
              </a:defRPr>
            </a:pPr>
            <a:r>
              <a:rPr lang="en-US" sz="1200" b="0">
                <a:latin typeface="Arial Rounded MT Bold" panose="020F0704030504030204" pitchFamily="34" charset="0"/>
              </a:rPr>
              <a:t>Oportunidad de Digitación Por Mes - 2023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dk1"/>
              </a:solidFill>
              <a:latin typeface="Arial Rounded MT Bold" panose="020F0704030504030204" pitchFamily="34" charset="0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dk1"/>
                  </a:solidFill>
                  <a:latin typeface="Arial Rounded MT Bold" panose="020F0704030504030204" pitchFamily="34" charset="0"/>
                  <a:ea typeface="+mn-ea"/>
                  <a:cs typeface="Arial" panose="020B0604020202020204" pitchFamily="34" charset="0"/>
                </a:defRPr>
              </a:pPr>
              <a:endParaRPr lang="es-419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Por PPDD-Mes'!$B$4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Arial Rounded MT Bold" panose="020F070403050403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'Grafico Por PPDD-Mes'!$A$5:$A$14</c:f>
              <c:strCache>
                <c:ptCount val="9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</c:strCache>
            </c:strRef>
          </c:cat>
          <c:val>
            <c:numRef>
              <c:f>'Grafico Por PPDD-Mes'!$B$5:$B$14</c:f>
              <c:numCache>
                <c:formatCode>General</c:formatCode>
                <c:ptCount val="9"/>
                <c:pt idx="0">
                  <c:v>1.4689265536723164E-2</c:v>
                </c:pt>
                <c:pt idx="1">
                  <c:v>2.1660649819494584E-2</c:v>
                </c:pt>
                <c:pt idx="2">
                  <c:v>0.63977695167286242</c:v>
                </c:pt>
                <c:pt idx="3">
                  <c:v>0.88064733648010785</c:v>
                </c:pt>
                <c:pt idx="4">
                  <c:v>0.90623145400593474</c:v>
                </c:pt>
                <c:pt idx="5">
                  <c:v>0.86055469953775043</c:v>
                </c:pt>
                <c:pt idx="6">
                  <c:v>0.53872053872053871</c:v>
                </c:pt>
                <c:pt idx="7">
                  <c:v>0.51206715634837352</c:v>
                </c:pt>
                <c:pt idx="8">
                  <c:v>0.69938065745593136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F8-4460-B7A5-1C3182689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9487567"/>
        <c:axId val="789487983"/>
      </c:lineChart>
      <c:catAx>
        <c:axId val="789487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Bahnschrift Light" panose="020B0502040204020203" pitchFamily="34" charset="0"/>
                <a:ea typeface="+mn-ea"/>
                <a:cs typeface="Arial" panose="020B0604020202020204" pitchFamily="34" charset="0"/>
              </a:defRPr>
            </a:pPr>
            <a:endParaRPr lang="es-419"/>
          </a:p>
        </c:txPr>
        <c:crossAx val="789487983"/>
        <c:crosses val="autoZero"/>
        <c:auto val="1"/>
        <c:lblAlgn val="ctr"/>
        <c:lblOffset val="100"/>
        <c:noMultiLvlLbl val="0"/>
      </c:catAx>
      <c:valAx>
        <c:axId val="78948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419"/>
          </a:p>
        </c:txPr>
        <c:crossAx val="789487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12700" cap="flat" cmpd="sng" algn="ctr">
      <a:solidFill>
        <a:schemeClr val="accent2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[Oportunidad_Digitacion_SIS_2025_Controles.xlsm]Grafico Produccion Por Año!TablaDinámica1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Bahnschrift Light" panose="020B0502040204020203" pitchFamily="34" charset="0"/>
                <a:ea typeface="+mn-ea"/>
                <a:cs typeface="Arial" panose="020B0604020202020204" pitchFamily="34" charset="0"/>
              </a:defRPr>
            </a:pPr>
            <a:r>
              <a:rPr lang="en-US">
                <a:latin typeface="Bahnschrift Light" panose="020B0502040204020203" pitchFamily="34" charset="0"/>
                <a:cs typeface="Arial" panose="020B0604020202020204" pitchFamily="34" charset="0"/>
              </a:rPr>
              <a:t>Digitación SIS - 2023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Bahnschrift Light" panose="020B0502040204020203" pitchFamily="34" charset="0"/>
              <a:ea typeface="+mn-ea"/>
              <a:cs typeface="Arial" panose="020B0604020202020204" pitchFamily="34" charset="0"/>
            </a:defRPr>
          </a:pPr>
          <a:endParaRPr lang="es-419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dk1"/>
                  </a:solidFill>
                  <a:latin typeface="Arial Rounded MT Bold" panose="020F0704030504030204" pitchFamily="34" charset="0"/>
                  <a:ea typeface="+mn-ea"/>
                  <a:cs typeface="Arial" panose="020B0604020202020204" pitchFamily="34" charset="0"/>
                </a:defRPr>
              </a:pPr>
              <a:endParaRPr lang="es-419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dk1"/>
                  </a:solidFill>
                  <a:latin typeface="Arial Rounded MT Bold" panose="020F0704030504030204" pitchFamily="34" charset="0"/>
                  <a:ea typeface="+mn-ea"/>
                  <a:cs typeface="Arial" panose="020B0604020202020204" pitchFamily="34" charset="0"/>
                </a:defRPr>
              </a:pPr>
              <a:endParaRPr lang="es-419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s-419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Produccion Por Año'!$B$4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'Grafico Produccion Por Año'!$A$5:$A$14</c:f>
              <c:strCache>
                <c:ptCount val="9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</c:strCache>
            </c:strRef>
          </c:cat>
          <c:val>
            <c:numRef>
              <c:f>'Grafico Produccion Por Año'!$B$5:$B$14</c:f>
              <c:numCache>
                <c:formatCode>General</c:formatCode>
                <c:ptCount val="9"/>
                <c:pt idx="0">
                  <c:v>1103</c:v>
                </c:pt>
                <c:pt idx="1">
                  <c:v>1738</c:v>
                </c:pt>
                <c:pt idx="2">
                  <c:v>3976</c:v>
                </c:pt>
                <c:pt idx="3">
                  <c:v>3391</c:v>
                </c:pt>
                <c:pt idx="4">
                  <c:v>2532</c:v>
                </c:pt>
                <c:pt idx="5">
                  <c:v>3567</c:v>
                </c:pt>
                <c:pt idx="6">
                  <c:v>3201</c:v>
                </c:pt>
                <c:pt idx="7">
                  <c:v>3600</c:v>
                </c:pt>
                <c:pt idx="8">
                  <c:v>3009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09-4ACC-8F4C-2D68215FE1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9487567"/>
        <c:axId val="789487983"/>
      </c:lineChart>
      <c:catAx>
        <c:axId val="789487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419"/>
          </a:p>
        </c:txPr>
        <c:crossAx val="789487983"/>
        <c:crosses val="autoZero"/>
        <c:auto val="1"/>
        <c:lblAlgn val="ctr"/>
        <c:lblOffset val="100"/>
        <c:noMultiLvlLbl val="0"/>
      </c:catAx>
      <c:valAx>
        <c:axId val="78948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419"/>
          </a:p>
        </c:txPr>
        <c:crossAx val="789487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12700" cap="flat" cmpd="sng" algn="ctr">
      <a:solidFill>
        <a:schemeClr val="accent2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6" fmlaLink="$M$1" fmlaRange="Tablas!$E$2:$E$13" noThreeD="1" sel="3" val="0"/>
</file>

<file path=xl/ctrlProps/ctrlProp2.xml><?xml version="1.0" encoding="utf-8"?>
<formControlPr xmlns="http://schemas.microsoft.com/office/spreadsheetml/2009/9/main" objectType="Drop" dropStyle="combo" dx="26" fmlaLink="$M$1" fmlaRange="Tablas!$E$2:$E$13" noThreeD="1" sel="3" val="0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0</xdr:row>
          <xdr:rowOff>68580</xdr:rowOff>
        </xdr:from>
        <xdr:to>
          <xdr:col>10</xdr:col>
          <xdr:colOff>495300</xdr:colOff>
          <xdr:row>1</xdr:row>
          <xdr:rowOff>144780</xdr:rowOff>
        </xdr:to>
        <xdr:sp macro="" textlink="">
          <xdr:nvSpPr>
            <xdr:cNvPr id="1025" name="CommandButton2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2</xdr:row>
          <xdr:rowOff>266700</xdr:rowOff>
        </xdr:from>
        <xdr:to>
          <xdr:col>15</xdr:col>
          <xdr:colOff>22860</xdr:colOff>
          <xdr:row>3</xdr:row>
          <xdr:rowOff>68580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335280</xdr:colOff>
          <xdr:row>0</xdr:row>
          <xdr:rowOff>160020</xdr:rowOff>
        </xdr:from>
        <xdr:to>
          <xdr:col>10</xdr:col>
          <xdr:colOff>708660</xdr:colOff>
          <xdr:row>2</xdr:row>
          <xdr:rowOff>266700</xdr:rowOff>
        </xdr:to>
        <xdr:sp macro="" textlink="">
          <xdr:nvSpPr>
            <xdr:cNvPr id="5121" name="CommandButton2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281940</xdr:colOff>
          <xdr:row>2</xdr:row>
          <xdr:rowOff>365760</xdr:rowOff>
        </xdr:from>
        <xdr:to>
          <xdr:col>11</xdr:col>
          <xdr:colOff>213360</xdr:colOff>
          <xdr:row>2</xdr:row>
          <xdr:rowOff>891540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807721</xdr:colOff>
      <xdr:row>0</xdr:row>
      <xdr:rowOff>47625</xdr:rowOff>
    </xdr:from>
    <xdr:to>
      <xdr:col>10</xdr:col>
      <xdr:colOff>171451</xdr:colOff>
      <xdr:row>20</xdr:row>
      <xdr:rowOff>108585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645795</xdr:colOff>
      <xdr:row>0</xdr:row>
      <xdr:rowOff>85724</xdr:rowOff>
    </xdr:from>
    <xdr:to>
      <xdr:col>11</xdr:col>
      <xdr:colOff>123825</xdr:colOff>
      <xdr:row>20</xdr:row>
      <xdr:rowOff>148589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in" refreshedDate="45224.383220023148" createdVersion="8" refreshedVersion="8" minRefreshableVersion="3" recordCount="441" xr:uid="{139933F6-0D7E-4C9A-98D2-D90DBCF7C794}">
  <cacheSource type="worksheet">
    <worksheetSource ref="B1:I442" sheet="Data_Mensual"/>
  </cacheSource>
  <cacheFields count="8">
    <cacheField name="Nro." numFmtId="0">
      <sharedItems containsSemiMixedTypes="0" containsString="0" containsNumber="1" containsInteger="1" minValue="1" maxValue="21"/>
    </cacheField>
    <cacheField name="Codigo Punto de Digitacion" numFmtId="0">
      <sharedItems containsSemiMixedTypes="0" containsString="0" containsNumber="1" containsInteger="1" minValue="233" maxValue="28745"/>
    </cacheField>
    <cacheField name="Punto de Digitacion" numFmtId="0">
      <sharedItems count="22">
        <s v="P.S. MAMABAMBA"/>
        <s v="C.S. NUEVO ORIENTE"/>
        <s v="C.S. CALLAYUC"/>
        <s v="HOSP. SANTA MARIA DE CUTERVO"/>
        <s v="C.S. SAN JUAN DE CUTERVO"/>
        <s v="C.S. SILLANGATE"/>
        <s v="C.S. CUJILLO"/>
        <s v="C.S. SAN ANDRES DE CUTERVO"/>
        <s v="C.S. PLENITUD"/>
        <s v="C.S. SAN LUIS DE LUCMA"/>
        <s v="C.S. SALOMON VILCHEZ MURGA"/>
        <s v="C.S. CHIPLE"/>
        <s v="MICRORED NARANJITO"/>
        <s v="C.S. SANTA CRUZ"/>
        <s v="C.S. SANTO TOMAS"/>
        <s v="C.S. SOCOTA"/>
        <s v="C.S. CHOROS"/>
        <s v="C.S. PIMPINCOS"/>
        <s v="C.S. LA RAMADA"/>
        <s v="C.S. SANTO DOMINGO DE LA CAPILLA"/>
        <s v="C.S. QUEROCOTILLO"/>
        <s v="C.S. MAMABAMBA"/>
      </sharedItems>
    </cacheField>
    <cacheField name="FUAs Digitados Oportunamente" numFmtId="0">
      <sharedItems containsSemiMixedTypes="0" containsString="0" containsNumber="1" containsInteger="1" minValue="6" maxValue="11059"/>
    </cacheField>
    <cacheField name="Total FUAs Digitados" numFmtId="0">
      <sharedItems containsSemiMixedTypes="0" containsString="0" containsNumber="1" containsInteger="1" minValue="49" maxValue="12708"/>
    </cacheField>
    <cacheField name="Indicador" numFmtId="10">
      <sharedItems containsSemiMixedTypes="0" containsString="0" containsNumber="1" minValue="1.4689265536723164E-2" maxValue="1"/>
    </cacheField>
    <cacheField name="M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Año" numFmtId="0">
      <sharedItems containsSemiMixedTypes="0" containsString="0" containsNumber="1" containsInteger="1" minValue="2022" maxValue="2023" count="2">
        <n v="2022"/>
        <n v="202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1">
  <r>
    <n v="1"/>
    <n v="11931"/>
    <x v="0"/>
    <n v="874"/>
    <n v="884"/>
    <n v="0.99"/>
    <x v="0"/>
    <x v="0"/>
  </r>
  <r>
    <n v="2"/>
    <n v="11117"/>
    <x v="1"/>
    <n v="7054"/>
    <n v="7251"/>
    <n v="0.97"/>
    <x v="0"/>
    <x v="0"/>
  </r>
  <r>
    <n v="3"/>
    <n v="243"/>
    <x v="2"/>
    <n v="2594"/>
    <n v="2708"/>
    <n v="0.96"/>
    <x v="0"/>
    <x v="0"/>
  </r>
  <r>
    <n v="4"/>
    <n v="233"/>
    <x v="3"/>
    <n v="3438"/>
    <n v="3656"/>
    <n v="0.94"/>
    <x v="0"/>
    <x v="0"/>
  </r>
  <r>
    <n v="5"/>
    <n v="11799"/>
    <x v="4"/>
    <n v="1180"/>
    <n v="1267"/>
    <n v="0.93"/>
    <x v="0"/>
    <x v="0"/>
  </r>
  <r>
    <n v="6"/>
    <n v="1557"/>
    <x v="5"/>
    <n v="896"/>
    <n v="967"/>
    <n v="0.93"/>
    <x v="0"/>
    <x v="0"/>
  </r>
  <r>
    <n v="7"/>
    <n v="11882"/>
    <x v="6"/>
    <n v="878"/>
    <n v="964"/>
    <n v="0.91"/>
    <x v="0"/>
    <x v="0"/>
  </r>
  <r>
    <n v="8"/>
    <n v="238"/>
    <x v="7"/>
    <n v="1175"/>
    <n v="1302"/>
    <n v="0.9"/>
    <x v="0"/>
    <x v="0"/>
  </r>
  <r>
    <n v="9"/>
    <n v="28745"/>
    <x v="8"/>
    <n v="85"/>
    <n v="94"/>
    <n v="0.9"/>
    <x v="0"/>
    <x v="0"/>
  </r>
  <r>
    <n v="10"/>
    <n v="10951"/>
    <x v="9"/>
    <n v="1356"/>
    <n v="1588"/>
    <n v="0.85"/>
    <x v="0"/>
    <x v="0"/>
  </r>
  <r>
    <n v="11"/>
    <n v="11116"/>
    <x v="10"/>
    <n v="7040"/>
    <n v="8300"/>
    <n v="0.85"/>
    <x v="0"/>
    <x v="0"/>
  </r>
  <r>
    <n v="12"/>
    <n v="234"/>
    <x v="11"/>
    <n v="2549"/>
    <n v="3195"/>
    <n v="0.8"/>
    <x v="0"/>
    <x v="0"/>
  </r>
  <r>
    <n v="13"/>
    <n v="242"/>
    <x v="12"/>
    <n v="1576"/>
    <n v="2079"/>
    <n v="0.76"/>
    <x v="0"/>
    <x v="0"/>
  </r>
  <r>
    <n v="14"/>
    <n v="10904"/>
    <x v="13"/>
    <n v="1122"/>
    <n v="1582"/>
    <n v="0.71"/>
    <x v="0"/>
    <x v="0"/>
  </r>
  <r>
    <n v="15"/>
    <n v="235"/>
    <x v="14"/>
    <n v="2272"/>
    <n v="3366"/>
    <n v="0.67"/>
    <x v="0"/>
    <x v="0"/>
  </r>
  <r>
    <n v="16"/>
    <n v="237"/>
    <x v="15"/>
    <n v="2474"/>
    <n v="3687"/>
    <n v="0.67"/>
    <x v="0"/>
    <x v="0"/>
  </r>
  <r>
    <n v="17"/>
    <n v="241"/>
    <x v="16"/>
    <n v="1231"/>
    <n v="1951"/>
    <n v="0.63"/>
    <x v="0"/>
    <x v="0"/>
  </r>
  <r>
    <n v="18"/>
    <n v="246"/>
    <x v="17"/>
    <n v="1705"/>
    <n v="2936"/>
    <n v="0.57999999999999996"/>
    <x v="0"/>
    <x v="0"/>
  </r>
  <r>
    <n v="19"/>
    <n v="240"/>
    <x v="18"/>
    <n v="1396"/>
    <n v="2653"/>
    <n v="0.53"/>
    <x v="0"/>
    <x v="0"/>
  </r>
  <r>
    <n v="20"/>
    <n v="239"/>
    <x v="19"/>
    <n v="1313"/>
    <n v="2693"/>
    <n v="0.49"/>
    <x v="0"/>
    <x v="0"/>
  </r>
  <r>
    <n v="21"/>
    <n v="236"/>
    <x v="20"/>
    <n v="352"/>
    <n v="1727"/>
    <n v="0.2"/>
    <x v="0"/>
    <x v="0"/>
  </r>
  <r>
    <n v="1"/>
    <n v="11931"/>
    <x v="0"/>
    <n v="784"/>
    <n v="804"/>
    <n v="0.98"/>
    <x v="1"/>
    <x v="0"/>
  </r>
  <r>
    <n v="2"/>
    <n v="11117"/>
    <x v="1"/>
    <n v="6630"/>
    <n v="6865"/>
    <n v="0.97"/>
    <x v="1"/>
    <x v="0"/>
  </r>
  <r>
    <n v="3"/>
    <n v="233"/>
    <x v="3"/>
    <n v="3504"/>
    <n v="3613"/>
    <n v="0.97"/>
    <x v="1"/>
    <x v="0"/>
  </r>
  <r>
    <n v="4"/>
    <n v="10951"/>
    <x v="9"/>
    <n v="1623"/>
    <n v="1727"/>
    <n v="0.94"/>
    <x v="1"/>
    <x v="0"/>
  </r>
  <r>
    <n v="5"/>
    <n v="243"/>
    <x v="2"/>
    <n v="2188"/>
    <n v="2316"/>
    <n v="0.94"/>
    <x v="1"/>
    <x v="0"/>
  </r>
  <r>
    <n v="6"/>
    <n v="238"/>
    <x v="7"/>
    <n v="1482"/>
    <n v="1602"/>
    <n v="0.93"/>
    <x v="1"/>
    <x v="0"/>
  </r>
  <r>
    <n v="7"/>
    <n v="11799"/>
    <x v="4"/>
    <n v="1050"/>
    <n v="1172"/>
    <n v="0.9"/>
    <x v="1"/>
    <x v="0"/>
  </r>
  <r>
    <n v="8"/>
    <n v="28745"/>
    <x v="8"/>
    <n v="153"/>
    <n v="176"/>
    <n v="0.87"/>
    <x v="1"/>
    <x v="0"/>
  </r>
  <r>
    <n v="9"/>
    <n v="242"/>
    <x v="12"/>
    <n v="2236"/>
    <n v="2630"/>
    <n v="0.85"/>
    <x v="1"/>
    <x v="0"/>
  </r>
  <r>
    <n v="10"/>
    <n v="235"/>
    <x v="14"/>
    <n v="2331"/>
    <n v="2761"/>
    <n v="0.84"/>
    <x v="1"/>
    <x v="0"/>
  </r>
  <r>
    <n v="11"/>
    <n v="11116"/>
    <x v="10"/>
    <n v="6346"/>
    <n v="7624"/>
    <n v="0.83"/>
    <x v="1"/>
    <x v="0"/>
  </r>
  <r>
    <n v="12"/>
    <n v="237"/>
    <x v="15"/>
    <n v="2111"/>
    <n v="2554"/>
    <n v="0.83"/>
    <x v="1"/>
    <x v="0"/>
  </r>
  <r>
    <n v="13"/>
    <n v="11882"/>
    <x v="6"/>
    <n v="644"/>
    <n v="786"/>
    <n v="0.82"/>
    <x v="1"/>
    <x v="0"/>
  </r>
  <r>
    <n v="14"/>
    <n v="239"/>
    <x v="19"/>
    <n v="2098"/>
    <n v="2610"/>
    <n v="0.8"/>
    <x v="1"/>
    <x v="0"/>
  </r>
  <r>
    <n v="15"/>
    <n v="240"/>
    <x v="18"/>
    <n v="1873"/>
    <n v="2404"/>
    <n v="0.78"/>
    <x v="1"/>
    <x v="0"/>
  </r>
  <r>
    <n v="16"/>
    <n v="241"/>
    <x v="16"/>
    <n v="1407"/>
    <n v="1846"/>
    <n v="0.76"/>
    <x v="1"/>
    <x v="0"/>
  </r>
  <r>
    <n v="17"/>
    <n v="1557"/>
    <x v="5"/>
    <n v="727"/>
    <n v="973"/>
    <n v="0.75"/>
    <x v="1"/>
    <x v="0"/>
  </r>
  <r>
    <n v="18"/>
    <n v="10904"/>
    <x v="13"/>
    <n v="744"/>
    <n v="1040"/>
    <n v="0.72"/>
    <x v="1"/>
    <x v="0"/>
  </r>
  <r>
    <n v="19"/>
    <n v="246"/>
    <x v="17"/>
    <n v="1133"/>
    <n v="1684"/>
    <n v="0.67"/>
    <x v="1"/>
    <x v="0"/>
  </r>
  <r>
    <n v="20"/>
    <n v="234"/>
    <x v="11"/>
    <n v="2250"/>
    <n v="3443"/>
    <n v="0.65"/>
    <x v="1"/>
    <x v="0"/>
  </r>
  <r>
    <n v="21"/>
    <n v="236"/>
    <x v="20"/>
    <n v="321"/>
    <n v="2374"/>
    <n v="0.14000000000000001"/>
    <x v="1"/>
    <x v="0"/>
  </r>
  <r>
    <n v="1"/>
    <n v="11117"/>
    <x v="1"/>
    <n v="8630"/>
    <n v="8887"/>
    <n v="0.97"/>
    <x v="2"/>
    <x v="0"/>
  </r>
  <r>
    <n v="2"/>
    <n v="1557"/>
    <x v="5"/>
    <n v="1520"/>
    <n v="1576"/>
    <n v="0.96"/>
    <x v="2"/>
    <x v="0"/>
  </r>
  <r>
    <n v="3"/>
    <n v="10951"/>
    <x v="9"/>
    <n v="2007"/>
    <n v="2123"/>
    <n v="0.95"/>
    <x v="2"/>
    <x v="0"/>
  </r>
  <r>
    <n v="4"/>
    <n v="233"/>
    <x v="3"/>
    <n v="6116"/>
    <n v="6413"/>
    <n v="0.95"/>
    <x v="2"/>
    <x v="0"/>
  </r>
  <r>
    <n v="5"/>
    <n v="238"/>
    <x v="7"/>
    <n v="1295"/>
    <n v="1357"/>
    <n v="0.95"/>
    <x v="2"/>
    <x v="0"/>
  </r>
  <r>
    <n v="6"/>
    <n v="28745"/>
    <x v="8"/>
    <n v="223"/>
    <n v="241"/>
    <n v="0.93"/>
    <x v="2"/>
    <x v="0"/>
  </r>
  <r>
    <n v="7"/>
    <n v="11882"/>
    <x v="6"/>
    <n v="1171"/>
    <n v="1302"/>
    <n v="0.9"/>
    <x v="2"/>
    <x v="0"/>
  </r>
  <r>
    <n v="8"/>
    <n v="235"/>
    <x v="14"/>
    <n v="1988"/>
    <n v="2203"/>
    <n v="0.9"/>
    <x v="2"/>
    <x v="0"/>
  </r>
  <r>
    <n v="9"/>
    <n v="239"/>
    <x v="19"/>
    <n v="2704"/>
    <n v="3037"/>
    <n v="0.89"/>
    <x v="2"/>
    <x v="0"/>
  </r>
  <r>
    <n v="10"/>
    <n v="243"/>
    <x v="2"/>
    <n v="2678"/>
    <n v="3019"/>
    <n v="0.89"/>
    <x v="2"/>
    <x v="0"/>
  </r>
  <r>
    <n v="11"/>
    <n v="236"/>
    <x v="20"/>
    <n v="2599"/>
    <n v="2972"/>
    <n v="0.87"/>
    <x v="2"/>
    <x v="0"/>
  </r>
  <r>
    <n v="12"/>
    <n v="240"/>
    <x v="18"/>
    <n v="2785"/>
    <n v="3193"/>
    <n v="0.87"/>
    <x v="2"/>
    <x v="0"/>
  </r>
  <r>
    <n v="13"/>
    <n v="11931"/>
    <x v="0"/>
    <n v="1859"/>
    <n v="2145"/>
    <n v="0.87"/>
    <x v="2"/>
    <x v="0"/>
  </r>
  <r>
    <n v="14"/>
    <n v="11116"/>
    <x v="10"/>
    <n v="8156"/>
    <n v="9528"/>
    <n v="0.86"/>
    <x v="2"/>
    <x v="0"/>
  </r>
  <r>
    <n v="15"/>
    <n v="11799"/>
    <x v="4"/>
    <n v="1137"/>
    <n v="1380"/>
    <n v="0.82"/>
    <x v="2"/>
    <x v="0"/>
  </r>
  <r>
    <n v="16"/>
    <n v="237"/>
    <x v="15"/>
    <n v="2475"/>
    <n v="3090"/>
    <n v="0.8"/>
    <x v="2"/>
    <x v="0"/>
  </r>
  <r>
    <n v="17"/>
    <n v="10904"/>
    <x v="13"/>
    <n v="838"/>
    <n v="1154"/>
    <n v="0.73"/>
    <x v="2"/>
    <x v="0"/>
  </r>
  <r>
    <n v="18"/>
    <n v="241"/>
    <x v="16"/>
    <n v="1365"/>
    <n v="1888"/>
    <n v="0.72"/>
    <x v="2"/>
    <x v="0"/>
  </r>
  <r>
    <n v="19"/>
    <n v="242"/>
    <x v="12"/>
    <n v="1998"/>
    <n v="2901"/>
    <n v="0.69"/>
    <x v="2"/>
    <x v="0"/>
  </r>
  <r>
    <n v="20"/>
    <n v="246"/>
    <x v="17"/>
    <n v="1735"/>
    <n v="2735"/>
    <n v="0.63"/>
    <x v="2"/>
    <x v="0"/>
  </r>
  <r>
    <n v="21"/>
    <n v="234"/>
    <x v="11"/>
    <n v="2566"/>
    <n v="4610"/>
    <n v="0.56000000000000005"/>
    <x v="2"/>
    <x v="0"/>
  </r>
  <r>
    <n v="1"/>
    <n v="1557"/>
    <x v="5"/>
    <n v="1798"/>
    <n v="1812"/>
    <n v="0.99"/>
    <x v="3"/>
    <x v="0"/>
  </r>
  <r>
    <n v="2"/>
    <n v="10951"/>
    <x v="9"/>
    <n v="1382"/>
    <n v="1444"/>
    <n v="0.96"/>
    <x v="3"/>
    <x v="0"/>
  </r>
  <r>
    <n v="3"/>
    <n v="11117"/>
    <x v="1"/>
    <n v="7472"/>
    <n v="7895"/>
    <n v="0.95"/>
    <x v="3"/>
    <x v="0"/>
  </r>
  <r>
    <n v="4"/>
    <n v="233"/>
    <x v="3"/>
    <n v="6736"/>
    <n v="7143"/>
    <n v="0.94"/>
    <x v="3"/>
    <x v="0"/>
  </r>
  <r>
    <n v="5"/>
    <n v="236"/>
    <x v="20"/>
    <n v="3132"/>
    <n v="3328"/>
    <n v="0.94"/>
    <x v="3"/>
    <x v="0"/>
  </r>
  <r>
    <n v="6"/>
    <n v="28745"/>
    <x v="8"/>
    <n v="46"/>
    <n v="49"/>
    <n v="0.94"/>
    <x v="3"/>
    <x v="0"/>
  </r>
  <r>
    <n v="7"/>
    <n v="238"/>
    <x v="7"/>
    <n v="1872"/>
    <n v="2095"/>
    <n v="0.89"/>
    <x v="3"/>
    <x v="0"/>
  </r>
  <r>
    <n v="8"/>
    <n v="11882"/>
    <x v="6"/>
    <n v="986"/>
    <n v="1120"/>
    <n v="0.88"/>
    <x v="3"/>
    <x v="0"/>
  </r>
  <r>
    <n v="9"/>
    <n v="11116"/>
    <x v="10"/>
    <n v="6820"/>
    <n v="7931"/>
    <n v="0.86"/>
    <x v="3"/>
    <x v="0"/>
  </r>
  <r>
    <n v="10"/>
    <n v="11931"/>
    <x v="21"/>
    <n v="2402"/>
    <n v="2819"/>
    <n v="0.85"/>
    <x v="3"/>
    <x v="0"/>
  </r>
  <r>
    <n v="11"/>
    <n v="11799"/>
    <x v="4"/>
    <n v="1150"/>
    <n v="1413"/>
    <n v="0.81"/>
    <x v="3"/>
    <x v="0"/>
  </r>
  <r>
    <n v="12"/>
    <n v="234"/>
    <x v="11"/>
    <n v="3150"/>
    <n v="3946"/>
    <n v="0.8"/>
    <x v="3"/>
    <x v="0"/>
  </r>
  <r>
    <n v="13"/>
    <n v="243"/>
    <x v="2"/>
    <n v="1773"/>
    <n v="2279"/>
    <n v="0.78"/>
    <x v="3"/>
    <x v="0"/>
  </r>
  <r>
    <n v="14"/>
    <n v="239"/>
    <x v="19"/>
    <n v="2379"/>
    <n v="3153"/>
    <n v="0.75"/>
    <x v="3"/>
    <x v="0"/>
  </r>
  <r>
    <n v="15"/>
    <n v="10904"/>
    <x v="13"/>
    <n v="1098"/>
    <n v="1519"/>
    <n v="0.72"/>
    <x v="3"/>
    <x v="0"/>
  </r>
  <r>
    <n v="16"/>
    <n v="240"/>
    <x v="18"/>
    <n v="1533"/>
    <n v="2229"/>
    <n v="0.69"/>
    <x v="3"/>
    <x v="0"/>
  </r>
  <r>
    <n v="17"/>
    <n v="241"/>
    <x v="16"/>
    <n v="1574"/>
    <n v="2449"/>
    <n v="0.64"/>
    <x v="3"/>
    <x v="0"/>
  </r>
  <r>
    <n v="18"/>
    <n v="235"/>
    <x v="14"/>
    <n v="1371"/>
    <n v="2335"/>
    <n v="0.59"/>
    <x v="3"/>
    <x v="0"/>
  </r>
  <r>
    <n v="19"/>
    <n v="237"/>
    <x v="15"/>
    <n v="1216"/>
    <n v="2206"/>
    <n v="0.55000000000000004"/>
    <x v="3"/>
    <x v="0"/>
  </r>
  <r>
    <n v="20"/>
    <n v="246"/>
    <x v="17"/>
    <n v="1383"/>
    <n v="2942"/>
    <n v="0.47"/>
    <x v="3"/>
    <x v="0"/>
  </r>
  <r>
    <n v="21"/>
    <n v="242"/>
    <x v="12"/>
    <n v="711"/>
    <n v="1806"/>
    <n v="0.39"/>
    <x v="3"/>
    <x v="0"/>
  </r>
  <r>
    <n v="1"/>
    <n v="10951"/>
    <x v="9"/>
    <n v="1776"/>
    <n v="1827"/>
    <n v="0.97"/>
    <x v="4"/>
    <x v="0"/>
  </r>
  <r>
    <n v="2"/>
    <n v="236"/>
    <x v="20"/>
    <n v="5579"/>
    <n v="5746"/>
    <n v="0.97"/>
    <x v="4"/>
    <x v="0"/>
  </r>
  <r>
    <n v="3"/>
    <n v="11117"/>
    <x v="1"/>
    <n v="10729"/>
    <n v="11134"/>
    <n v="0.96"/>
    <x v="4"/>
    <x v="0"/>
  </r>
  <r>
    <n v="4"/>
    <n v="1557"/>
    <x v="5"/>
    <n v="1747"/>
    <n v="1853"/>
    <n v="0.94"/>
    <x v="4"/>
    <x v="0"/>
  </r>
  <r>
    <n v="5"/>
    <n v="240"/>
    <x v="18"/>
    <n v="2686"/>
    <n v="2896"/>
    <n v="0.93"/>
    <x v="4"/>
    <x v="0"/>
  </r>
  <r>
    <n v="6"/>
    <n v="11882"/>
    <x v="6"/>
    <n v="923"/>
    <n v="1025"/>
    <n v="0.9"/>
    <x v="4"/>
    <x v="0"/>
  </r>
  <r>
    <n v="7"/>
    <n v="234"/>
    <x v="11"/>
    <n v="3723"/>
    <n v="4218"/>
    <n v="0.88"/>
    <x v="4"/>
    <x v="0"/>
  </r>
  <r>
    <n v="8"/>
    <n v="11116"/>
    <x v="10"/>
    <n v="11059"/>
    <n v="12708"/>
    <n v="0.87"/>
    <x v="4"/>
    <x v="0"/>
  </r>
  <r>
    <n v="9"/>
    <n v="233"/>
    <x v="3"/>
    <n v="6840"/>
    <n v="7957"/>
    <n v="0.86"/>
    <x v="4"/>
    <x v="0"/>
  </r>
  <r>
    <n v="10"/>
    <n v="238"/>
    <x v="7"/>
    <n v="1429"/>
    <n v="1685"/>
    <n v="0.85"/>
    <x v="4"/>
    <x v="0"/>
  </r>
  <r>
    <n v="11"/>
    <n v="11931"/>
    <x v="21"/>
    <n v="2334"/>
    <n v="2971"/>
    <n v="0.79"/>
    <x v="4"/>
    <x v="0"/>
  </r>
  <r>
    <n v="12"/>
    <n v="11799"/>
    <x v="4"/>
    <n v="853"/>
    <n v="1094"/>
    <n v="0.78"/>
    <x v="4"/>
    <x v="0"/>
  </r>
  <r>
    <n v="13"/>
    <n v="10904"/>
    <x v="13"/>
    <n v="1136"/>
    <n v="1483"/>
    <n v="0.77"/>
    <x v="4"/>
    <x v="0"/>
  </r>
  <r>
    <n v="14"/>
    <n v="241"/>
    <x v="16"/>
    <n v="1365"/>
    <n v="1897"/>
    <n v="0.72"/>
    <x v="4"/>
    <x v="0"/>
  </r>
  <r>
    <n v="15"/>
    <n v="239"/>
    <x v="19"/>
    <n v="2616"/>
    <n v="3718"/>
    <n v="0.7"/>
    <x v="4"/>
    <x v="0"/>
  </r>
  <r>
    <n v="16"/>
    <n v="28745"/>
    <x v="8"/>
    <n v="210"/>
    <n v="337"/>
    <n v="0.62"/>
    <x v="4"/>
    <x v="0"/>
  </r>
  <r>
    <n v="17"/>
    <n v="243"/>
    <x v="2"/>
    <n v="2020"/>
    <n v="3537"/>
    <n v="0.56999999999999995"/>
    <x v="4"/>
    <x v="0"/>
  </r>
  <r>
    <n v="18"/>
    <n v="246"/>
    <x v="17"/>
    <n v="2291"/>
    <n v="3998"/>
    <n v="0.56999999999999995"/>
    <x v="4"/>
    <x v="0"/>
  </r>
  <r>
    <n v="19"/>
    <n v="242"/>
    <x v="12"/>
    <n v="1726"/>
    <n v="3678"/>
    <n v="0.47"/>
    <x v="4"/>
    <x v="0"/>
  </r>
  <r>
    <n v="20"/>
    <n v="235"/>
    <x v="14"/>
    <n v="1219"/>
    <n v="3229"/>
    <n v="0.38"/>
    <x v="4"/>
    <x v="0"/>
  </r>
  <r>
    <n v="21"/>
    <n v="237"/>
    <x v="15"/>
    <n v="593"/>
    <n v="1647"/>
    <n v="0.36"/>
    <x v="4"/>
    <x v="0"/>
  </r>
  <r>
    <n v="1"/>
    <n v="236"/>
    <x v="20"/>
    <n v="2448"/>
    <n v="2462"/>
    <n v="0.99"/>
    <x v="5"/>
    <x v="0"/>
  </r>
  <r>
    <n v="2"/>
    <n v="11117"/>
    <x v="1"/>
    <n v="7869"/>
    <n v="8103"/>
    <n v="0.97"/>
    <x v="5"/>
    <x v="0"/>
  </r>
  <r>
    <n v="3"/>
    <n v="1557"/>
    <x v="5"/>
    <n v="1246"/>
    <n v="1315"/>
    <n v="0.95"/>
    <x v="5"/>
    <x v="0"/>
  </r>
  <r>
    <n v="4"/>
    <n v="11882"/>
    <x v="6"/>
    <n v="855"/>
    <n v="907"/>
    <n v="0.94"/>
    <x v="5"/>
    <x v="0"/>
  </r>
  <r>
    <n v="5"/>
    <n v="10951"/>
    <x v="9"/>
    <n v="1520"/>
    <n v="1629"/>
    <n v="0.93"/>
    <x v="5"/>
    <x v="0"/>
  </r>
  <r>
    <n v="6"/>
    <n v="11931"/>
    <x v="21"/>
    <n v="1917"/>
    <n v="2127"/>
    <n v="0.9"/>
    <x v="5"/>
    <x v="0"/>
  </r>
  <r>
    <n v="7"/>
    <n v="240"/>
    <x v="18"/>
    <n v="2768"/>
    <n v="3086"/>
    <n v="0.9"/>
    <x v="5"/>
    <x v="0"/>
  </r>
  <r>
    <n v="8"/>
    <n v="11116"/>
    <x v="10"/>
    <n v="6231"/>
    <n v="7126"/>
    <n v="0.87"/>
    <x v="5"/>
    <x v="0"/>
  </r>
  <r>
    <n v="9"/>
    <n v="233"/>
    <x v="3"/>
    <n v="5352"/>
    <n v="6268"/>
    <n v="0.85"/>
    <x v="5"/>
    <x v="0"/>
  </r>
  <r>
    <n v="10"/>
    <n v="234"/>
    <x v="11"/>
    <n v="3474"/>
    <n v="4138"/>
    <n v="0.84"/>
    <x v="5"/>
    <x v="0"/>
  </r>
  <r>
    <n v="11"/>
    <n v="238"/>
    <x v="7"/>
    <n v="1628"/>
    <n v="1949"/>
    <n v="0.84"/>
    <x v="5"/>
    <x v="0"/>
  </r>
  <r>
    <n v="12"/>
    <n v="28745"/>
    <x v="8"/>
    <n v="217"/>
    <n v="273"/>
    <n v="0.79"/>
    <x v="5"/>
    <x v="0"/>
  </r>
  <r>
    <n v="13"/>
    <n v="10904"/>
    <x v="13"/>
    <n v="739"/>
    <n v="1024"/>
    <n v="0.72"/>
    <x v="5"/>
    <x v="0"/>
  </r>
  <r>
    <n v="14"/>
    <n v="11799"/>
    <x v="4"/>
    <n v="1057"/>
    <n v="1484"/>
    <n v="0.71"/>
    <x v="5"/>
    <x v="0"/>
  </r>
  <r>
    <n v="15"/>
    <n v="246"/>
    <x v="17"/>
    <n v="1909"/>
    <n v="2782"/>
    <n v="0.69"/>
    <x v="5"/>
    <x v="0"/>
  </r>
  <r>
    <n v="16"/>
    <n v="241"/>
    <x v="16"/>
    <n v="1494"/>
    <n v="2285"/>
    <n v="0.65"/>
    <x v="5"/>
    <x v="0"/>
  </r>
  <r>
    <n v="17"/>
    <n v="243"/>
    <x v="2"/>
    <n v="1958"/>
    <n v="3223"/>
    <n v="0.61"/>
    <x v="5"/>
    <x v="0"/>
  </r>
  <r>
    <n v="18"/>
    <n v="242"/>
    <x v="12"/>
    <n v="1440"/>
    <n v="2713"/>
    <n v="0.53"/>
    <x v="5"/>
    <x v="0"/>
  </r>
  <r>
    <n v="19"/>
    <n v="239"/>
    <x v="19"/>
    <n v="1587"/>
    <n v="3365"/>
    <n v="0.47"/>
    <x v="5"/>
    <x v="0"/>
  </r>
  <r>
    <n v="20"/>
    <n v="235"/>
    <x v="14"/>
    <n v="528"/>
    <n v="2805"/>
    <n v="0.19"/>
    <x v="5"/>
    <x v="0"/>
  </r>
  <r>
    <n v="21"/>
    <n v="237"/>
    <x v="15"/>
    <n v="284"/>
    <n v="1670"/>
    <n v="0.17"/>
    <x v="5"/>
    <x v="0"/>
  </r>
  <r>
    <n v="1"/>
    <n v="236"/>
    <x v="20"/>
    <n v="2284"/>
    <n v="2329"/>
    <n v="0.98"/>
    <x v="6"/>
    <x v="0"/>
  </r>
  <r>
    <n v="2"/>
    <n v="11117"/>
    <x v="1"/>
    <n v="7600"/>
    <n v="7816"/>
    <n v="0.97"/>
    <x v="6"/>
    <x v="0"/>
  </r>
  <r>
    <n v="3"/>
    <n v="10951"/>
    <x v="9"/>
    <n v="1106"/>
    <n v="1161"/>
    <n v="0.95"/>
    <x v="6"/>
    <x v="0"/>
  </r>
  <r>
    <n v="4"/>
    <n v="1557"/>
    <x v="5"/>
    <n v="1068"/>
    <n v="1176"/>
    <n v="0.91"/>
    <x v="6"/>
    <x v="0"/>
  </r>
  <r>
    <n v="5"/>
    <n v="11931"/>
    <x v="0"/>
    <n v="1722"/>
    <n v="1891"/>
    <n v="0.91"/>
    <x v="6"/>
    <x v="0"/>
  </r>
  <r>
    <n v="6"/>
    <n v="11882"/>
    <x v="6"/>
    <n v="773"/>
    <n v="861"/>
    <n v="0.9"/>
    <x v="6"/>
    <x v="0"/>
  </r>
  <r>
    <n v="7"/>
    <n v="234"/>
    <x v="11"/>
    <n v="2921"/>
    <n v="3384"/>
    <n v="0.86"/>
    <x v="6"/>
    <x v="0"/>
  </r>
  <r>
    <n v="8"/>
    <n v="11116"/>
    <x v="10"/>
    <n v="6464"/>
    <n v="7614"/>
    <n v="0.85"/>
    <x v="6"/>
    <x v="0"/>
  </r>
  <r>
    <n v="9"/>
    <n v="238"/>
    <x v="7"/>
    <n v="923"/>
    <n v="1098"/>
    <n v="0.84"/>
    <x v="6"/>
    <x v="0"/>
  </r>
  <r>
    <n v="10"/>
    <n v="233"/>
    <x v="3"/>
    <n v="4188"/>
    <n v="5192"/>
    <n v="0.81"/>
    <x v="6"/>
    <x v="0"/>
  </r>
  <r>
    <n v="11"/>
    <n v="11799"/>
    <x v="4"/>
    <n v="766"/>
    <n v="982"/>
    <n v="0.78"/>
    <x v="6"/>
    <x v="0"/>
  </r>
  <r>
    <n v="12"/>
    <n v="241"/>
    <x v="16"/>
    <n v="1076"/>
    <n v="1607"/>
    <n v="0.67"/>
    <x v="6"/>
    <x v="0"/>
  </r>
  <r>
    <n v="13"/>
    <n v="28745"/>
    <x v="8"/>
    <n v="190"/>
    <n v="286"/>
    <n v="0.66"/>
    <x v="6"/>
    <x v="0"/>
  </r>
  <r>
    <n v="14"/>
    <n v="240"/>
    <x v="18"/>
    <n v="1159"/>
    <n v="1851"/>
    <n v="0.63"/>
    <x v="6"/>
    <x v="0"/>
  </r>
  <r>
    <n v="15"/>
    <n v="10904"/>
    <x v="13"/>
    <n v="706"/>
    <n v="1163"/>
    <n v="0.61"/>
    <x v="6"/>
    <x v="0"/>
  </r>
  <r>
    <n v="16"/>
    <n v="242"/>
    <x v="12"/>
    <n v="1623"/>
    <n v="2666"/>
    <n v="0.61"/>
    <x v="6"/>
    <x v="0"/>
  </r>
  <r>
    <n v="17"/>
    <n v="246"/>
    <x v="17"/>
    <n v="1343"/>
    <n v="2193"/>
    <n v="0.61"/>
    <x v="6"/>
    <x v="0"/>
  </r>
  <r>
    <n v="18"/>
    <n v="243"/>
    <x v="2"/>
    <n v="1309"/>
    <n v="2538"/>
    <n v="0.52"/>
    <x v="6"/>
    <x v="0"/>
  </r>
  <r>
    <n v="19"/>
    <n v="235"/>
    <x v="14"/>
    <n v="945"/>
    <n v="1934"/>
    <n v="0.49"/>
    <x v="6"/>
    <x v="0"/>
  </r>
  <r>
    <n v="20"/>
    <n v="239"/>
    <x v="19"/>
    <n v="1601"/>
    <n v="3410"/>
    <n v="0.47"/>
    <x v="6"/>
    <x v="0"/>
  </r>
  <r>
    <n v="21"/>
    <n v="237"/>
    <x v="15"/>
    <n v="522"/>
    <n v="3839"/>
    <n v="0.14000000000000001"/>
    <x v="6"/>
    <x v="0"/>
  </r>
  <r>
    <n v="1"/>
    <n v="236"/>
    <x v="20"/>
    <n v="3069"/>
    <n v="3101"/>
    <n v="0.99"/>
    <x v="7"/>
    <x v="0"/>
  </r>
  <r>
    <n v="2"/>
    <n v="11117"/>
    <x v="1"/>
    <n v="8222"/>
    <n v="8381"/>
    <n v="0.98"/>
    <x v="7"/>
    <x v="0"/>
  </r>
  <r>
    <n v="3"/>
    <n v="11882"/>
    <x v="6"/>
    <n v="777"/>
    <n v="841"/>
    <n v="0.92"/>
    <x v="7"/>
    <x v="0"/>
  </r>
  <r>
    <n v="4"/>
    <n v="10951"/>
    <x v="9"/>
    <n v="1519"/>
    <n v="1712"/>
    <n v="0.89"/>
    <x v="7"/>
    <x v="0"/>
  </r>
  <r>
    <n v="5"/>
    <n v="11116"/>
    <x v="10"/>
    <n v="6799"/>
    <n v="7626"/>
    <n v="0.89"/>
    <x v="7"/>
    <x v="0"/>
  </r>
  <r>
    <n v="6"/>
    <n v="11931"/>
    <x v="0"/>
    <n v="1694"/>
    <n v="1923"/>
    <n v="0.88"/>
    <x v="7"/>
    <x v="0"/>
  </r>
  <r>
    <n v="7"/>
    <n v="234"/>
    <x v="11"/>
    <n v="3323"/>
    <n v="3814"/>
    <n v="0.87"/>
    <x v="7"/>
    <x v="0"/>
  </r>
  <r>
    <n v="8"/>
    <n v="240"/>
    <x v="18"/>
    <n v="2303"/>
    <n v="2741"/>
    <n v="0.84"/>
    <x v="7"/>
    <x v="0"/>
  </r>
  <r>
    <n v="9"/>
    <n v="11799"/>
    <x v="4"/>
    <n v="985"/>
    <n v="1233"/>
    <n v="0.8"/>
    <x v="7"/>
    <x v="0"/>
  </r>
  <r>
    <n v="10"/>
    <n v="1557"/>
    <x v="5"/>
    <n v="940"/>
    <n v="1188"/>
    <n v="0.79"/>
    <x v="7"/>
    <x v="0"/>
  </r>
  <r>
    <n v="11"/>
    <n v="238"/>
    <x v="7"/>
    <n v="1195"/>
    <n v="1589"/>
    <n v="0.75"/>
    <x v="7"/>
    <x v="0"/>
  </r>
  <r>
    <n v="12"/>
    <n v="10904"/>
    <x v="13"/>
    <n v="1129"/>
    <n v="1681"/>
    <n v="0.67"/>
    <x v="7"/>
    <x v="0"/>
  </r>
  <r>
    <n v="13"/>
    <n v="28745"/>
    <x v="8"/>
    <n v="74"/>
    <n v="112"/>
    <n v="0.66"/>
    <x v="7"/>
    <x v="0"/>
  </r>
  <r>
    <n v="14"/>
    <n v="233"/>
    <x v="3"/>
    <n v="4388"/>
    <n v="6761"/>
    <n v="0.65"/>
    <x v="7"/>
    <x v="0"/>
  </r>
  <r>
    <n v="15"/>
    <n v="241"/>
    <x v="16"/>
    <n v="1118"/>
    <n v="1743"/>
    <n v="0.64"/>
    <x v="7"/>
    <x v="0"/>
  </r>
  <r>
    <n v="16"/>
    <n v="242"/>
    <x v="12"/>
    <n v="2359"/>
    <n v="3810"/>
    <n v="0.62"/>
    <x v="7"/>
    <x v="0"/>
  </r>
  <r>
    <n v="17"/>
    <n v="235"/>
    <x v="14"/>
    <n v="1255"/>
    <n v="2184"/>
    <n v="0.56999999999999995"/>
    <x v="7"/>
    <x v="0"/>
  </r>
  <r>
    <n v="18"/>
    <n v="243"/>
    <x v="2"/>
    <n v="1744"/>
    <n v="3280"/>
    <n v="0.53"/>
    <x v="7"/>
    <x v="0"/>
  </r>
  <r>
    <n v="19"/>
    <n v="246"/>
    <x v="17"/>
    <n v="1556"/>
    <n v="3012"/>
    <n v="0.52"/>
    <x v="7"/>
    <x v="0"/>
  </r>
  <r>
    <n v="20"/>
    <n v="239"/>
    <x v="19"/>
    <n v="1673"/>
    <n v="3619"/>
    <n v="0.46"/>
    <x v="7"/>
    <x v="0"/>
  </r>
  <r>
    <n v="21"/>
    <n v="237"/>
    <x v="15"/>
    <n v="797"/>
    <n v="4195"/>
    <n v="0.19"/>
    <x v="7"/>
    <x v="0"/>
  </r>
  <r>
    <n v="1"/>
    <n v="236"/>
    <x v="20"/>
    <n v="2690"/>
    <n v="2717"/>
    <n v="0.99"/>
    <x v="8"/>
    <x v="0"/>
  </r>
  <r>
    <n v="2"/>
    <n v="11117"/>
    <x v="1"/>
    <n v="7493"/>
    <n v="7810"/>
    <n v="0.96"/>
    <x v="8"/>
    <x v="0"/>
  </r>
  <r>
    <n v="3"/>
    <n v="11799"/>
    <x v="4"/>
    <n v="977"/>
    <n v="1078"/>
    <n v="0.91"/>
    <x v="8"/>
    <x v="0"/>
  </r>
  <r>
    <n v="4"/>
    <n v="240"/>
    <x v="18"/>
    <n v="2007"/>
    <n v="2260"/>
    <n v="0.89"/>
    <x v="8"/>
    <x v="0"/>
  </r>
  <r>
    <n v="5"/>
    <n v="242"/>
    <x v="12"/>
    <n v="2931"/>
    <n v="3309"/>
    <n v="0.89"/>
    <x v="8"/>
    <x v="0"/>
  </r>
  <r>
    <n v="6"/>
    <n v="234"/>
    <x v="11"/>
    <n v="3215"/>
    <n v="3633"/>
    <n v="0.88"/>
    <x v="8"/>
    <x v="0"/>
  </r>
  <r>
    <n v="7"/>
    <n v="11931"/>
    <x v="0"/>
    <n v="1670"/>
    <n v="1926"/>
    <n v="0.87"/>
    <x v="8"/>
    <x v="0"/>
  </r>
  <r>
    <n v="8"/>
    <n v="11116"/>
    <x v="10"/>
    <n v="6904"/>
    <n v="7991"/>
    <n v="0.86"/>
    <x v="8"/>
    <x v="0"/>
  </r>
  <r>
    <n v="9"/>
    <n v="11882"/>
    <x v="6"/>
    <n v="866"/>
    <n v="1004"/>
    <n v="0.86"/>
    <x v="8"/>
    <x v="0"/>
  </r>
  <r>
    <n v="10"/>
    <n v="10951"/>
    <x v="9"/>
    <n v="1183"/>
    <n v="1442"/>
    <n v="0.82"/>
    <x v="8"/>
    <x v="0"/>
  </r>
  <r>
    <n v="11"/>
    <n v="1557"/>
    <x v="5"/>
    <n v="923"/>
    <n v="1121"/>
    <n v="0.82"/>
    <x v="8"/>
    <x v="0"/>
  </r>
  <r>
    <n v="12"/>
    <n v="246"/>
    <x v="17"/>
    <n v="1151"/>
    <n v="1471"/>
    <n v="0.78"/>
    <x v="8"/>
    <x v="0"/>
  </r>
  <r>
    <n v="13"/>
    <n v="233"/>
    <x v="3"/>
    <n v="4744"/>
    <n v="6182"/>
    <n v="0.77"/>
    <x v="8"/>
    <x v="0"/>
  </r>
  <r>
    <n v="14"/>
    <n v="241"/>
    <x v="16"/>
    <n v="1750"/>
    <n v="2297"/>
    <n v="0.76"/>
    <x v="8"/>
    <x v="0"/>
  </r>
  <r>
    <n v="15"/>
    <n v="28745"/>
    <x v="8"/>
    <n v="103"/>
    <n v="136"/>
    <n v="0.76"/>
    <x v="8"/>
    <x v="0"/>
  </r>
  <r>
    <n v="16"/>
    <n v="239"/>
    <x v="19"/>
    <n v="2187"/>
    <n v="2953"/>
    <n v="0.74"/>
    <x v="8"/>
    <x v="0"/>
  </r>
  <r>
    <n v="17"/>
    <n v="10904"/>
    <x v="13"/>
    <n v="792"/>
    <n v="1099"/>
    <n v="0.72"/>
    <x v="8"/>
    <x v="0"/>
  </r>
  <r>
    <n v="18"/>
    <n v="243"/>
    <x v="2"/>
    <n v="1629"/>
    <n v="2288"/>
    <n v="0.71"/>
    <x v="8"/>
    <x v="0"/>
  </r>
  <r>
    <n v="19"/>
    <n v="238"/>
    <x v="7"/>
    <n v="1203"/>
    <n v="1759"/>
    <n v="0.68"/>
    <x v="8"/>
    <x v="0"/>
  </r>
  <r>
    <n v="20"/>
    <n v="237"/>
    <x v="15"/>
    <n v="2919"/>
    <n v="5940"/>
    <n v="0.49"/>
    <x v="8"/>
    <x v="0"/>
  </r>
  <r>
    <n v="21"/>
    <n v="235"/>
    <x v="14"/>
    <n v="997"/>
    <n v="2326"/>
    <n v="0.43"/>
    <x v="8"/>
    <x v="0"/>
  </r>
  <r>
    <n v="1"/>
    <n v="236"/>
    <x v="20"/>
    <n v="2192"/>
    <n v="2196"/>
    <n v="0.99817850637522765"/>
    <x v="9"/>
    <x v="0"/>
  </r>
  <r>
    <n v="2"/>
    <n v="11117"/>
    <x v="1"/>
    <n v="8247"/>
    <n v="8477"/>
    <n v="0.97286775982069129"/>
    <x v="9"/>
    <x v="0"/>
  </r>
  <r>
    <n v="3"/>
    <n v="242"/>
    <x v="12"/>
    <n v="2885"/>
    <n v="2967"/>
    <n v="0.97236265588136161"/>
    <x v="9"/>
    <x v="0"/>
  </r>
  <r>
    <n v="4"/>
    <n v="10951"/>
    <x v="9"/>
    <n v="1133"/>
    <n v="1195"/>
    <n v="0.94811715481171543"/>
    <x v="9"/>
    <x v="0"/>
  </r>
  <r>
    <n v="5"/>
    <n v="11799"/>
    <x v="4"/>
    <n v="1379"/>
    <n v="1465"/>
    <n v="0.941296928327645"/>
    <x v="9"/>
    <x v="0"/>
  </r>
  <r>
    <n v="6"/>
    <n v="234"/>
    <x v="11"/>
    <n v="2793"/>
    <n v="3057"/>
    <n v="0.91364082433758587"/>
    <x v="9"/>
    <x v="0"/>
  </r>
  <r>
    <n v="7"/>
    <n v="11931"/>
    <x v="0"/>
    <n v="1485"/>
    <n v="1668"/>
    <n v="0.89028776978417268"/>
    <x v="9"/>
    <x v="0"/>
  </r>
  <r>
    <n v="8"/>
    <n v="11882"/>
    <x v="6"/>
    <n v="814"/>
    <n v="927"/>
    <n v="0.87810140237324708"/>
    <x v="9"/>
    <x v="0"/>
  </r>
  <r>
    <n v="9"/>
    <n v="1557"/>
    <x v="5"/>
    <n v="942"/>
    <n v="1073"/>
    <n v="0.87791239515377451"/>
    <x v="9"/>
    <x v="0"/>
  </r>
  <r>
    <n v="10"/>
    <n v="11116"/>
    <x v="10"/>
    <n v="5865"/>
    <n v="6747"/>
    <n v="0.86927523343708313"/>
    <x v="9"/>
    <x v="0"/>
  </r>
  <r>
    <n v="11"/>
    <n v="237"/>
    <x v="15"/>
    <n v="3209"/>
    <n v="3934"/>
    <n v="0.81570920183019824"/>
    <x v="9"/>
    <x v="0"/>
  </r>
  <r>
    <n v="12"/>
    <n v="233"/>
    <x v="3"/>
    <n v="4781"/>
    <n v="6026"/>
    <n v="0.79339528708927975"/>
    <x v="9"/>
    <x v="0"/>
  </r>
  <r>
    <n v="13"/>
    <n v="240"/>
    <x v="18"/>
    <n v="1646"/>
    <n v="2258"/>
    <n v="0.72896368467670503"/>
    <x v="9"/>
    <x v="0"/>
  </r>
  <r>
    <n v="14"/>
    <n v="241"/>
    <x v="16"/>
    <n v="1936"/>
    <n v="2825"/>
    <n v="0.68530973451327437"/>
    <x v="9"/>
    <x v="0"/>
  </r>
  <r>
    <n v="15"/>
    <n v="238"/>
    <x v="7"/>
    <n v="380"/>
    <n v="580"/>
    <n v="0.65517241379310343"/>
    <x v="9"/>
    <x v="0"/>
  </r>
  <r>
    <n v="16"/>
    <n v="243"/>
    <x v="2"/>
    <n v="2036"/>
    <n v="3171"/>
    <n v="0.64206874802901293"/>
    <x v="9"/>
    <x v="0"/>
  </r>
  <r>
    <n v="17"/>
    <n v="28745"/>
    <x v="8"/>
    <n v="227"/>
    <n v="370"/>
    <n v="0.61351351351351346"/>
    <x v="9"/>
    <x v="0"/>
  </r>
  <r>
    <n v="18"/>
    <n v="239"/>
    <x v="19"/>
    <n v="1633"/>
    <n v="2833"/>
    <n v="0.57642075538298621"/>
    <x v="9"/>
    <x v="0"/>
  </r>
  <r>
    <n v="19"/>
    <n v="10904"/>
    <x v="13"/>
    <n v="1128"/>
    <n v="2026"/>
    <n v="0.55676209279368216"/>
    <x v="9"/>
    <x v="0"/>
  </r>
  <r>
    <n v="20"/>
    <n v="235"/>
    <x v="14"/>
    <n v="903"/>
    <n v="1798"/>
    <n v="0.50222469410456061"/>
    <x v="9"/>
    <x v="0"/>
  </r>
  <r>
    <n v="21"/>
    <n v="246"/>
    <x v="17"/>
    <n v="1753"/>
    <n v="3599"/>
    <n v="0.48707974437343704"/>
    <x v="9"/>
    <x v="0"/>
  </r>
  <r>
    <n v="1"/>
    <n v="1557"/>
    <x v="5"/>
    <n v="1303"/>
    <n v="1322"/>
    <n v="0.98562783661119513"/>
    <x v="10"/>
    <x v="0"/>
  </r>
  <r>
    <n v="2"/>
    <n v="28745"/>
    <x v="8"/>
    <n v="426"/>
    <n v="432"/>
    <n v="0.98611111111111116"/>
    <x v="10"/>
    <x v="0"/>
  </r>
  <r>
    <n v="3"/>
    <n v="11117"/>
    <x v="1"/>
    <n v="7608"/>
    <n v="7894"/>
    <n v="0.96376995186217385"/>
    <x v="10"/>
    <x v="0"/>
  </r>
  <r>
    <n v="4"/>
    <n v="11799"/>
    <x v="4"/>
    <n v="1161"/>
    <n v="1209"/>
    <n v="0.96029776674937961"/>
    <x v="10"/>
    <x v="0"/>
  </r>
  <r>
    <n v="5"/>
    <n v="242"/>
    <x v="12"/>
    <n v="3655"/>
    <n v="3850"/>
    <n v="0.94935064935064939"/>
    <x v="10"/>
    <x v="0"/>
  </r>
  <r>
    <n v="6"/>
    <n v="11116"/>
    <x v="10"/>
    <n v="7107"/>
    <n v="7596"/>
    <n v="0.9356240126382307"/>
    <x v="10"/>
    <x v="0"/>
  </r>
  <r>
    <n v="7"/>
    <n v="236"/>
    <x v="20"/>
    <n v="1661"/>
    <n v="1771"/>
    <n v="0.93788819875776397"/>
    <x v="10"/>
    <x v="0"/>
  </r>
  <r>
    <n v="8"/>
    <n v="246"/>
    <x v="17"/>
    <n v="1856"/>
    <n v="1980"/>
    <n v="0.93737373737373741"/>
    <x v="10"/>
    <x v="0"/>
  </r>
  <r>
    <n v="9"/>
    <n v="234"/>
    <x v="11"/>
    <n v="3136"/>
    <n v="3411"/>
    <n v="0.91937848138375844"/>
    <x v="10"/>
    <x v="0"/>
  </r>
  <r>
    <n v="10"/>
    <n v="240"/>
    <x v="18"/>
    <n v="2156"/>
    <n v="2347"/>
    <n v="0.91861951427354072"/>
    <x v="10"/>
    <x v="0"/>
  </r>
  <r>
    <n v="11"/>
    <n v="10904"/>
    <x v="13"/>
    <n v="1169"/>
    <n v="1336"/>
    <n v="0.875"/>
    <x v="10"/>
    <x v="0"/>
  </r>
  <r>
    <n v="12"/>
    <n v="237"/>
    <x v="15"/>
    <n v="3016"/>
    <n v="3409"/>
    <n v="0.88471692578468764"/>
    <x v="10"/>
    <x v="0"/>
  </r>
  <r>
    <n v="13"/>
    <n v="233"/>
    <x v="3"/>
    <n v="6313"/>
    <n v="7410"/>
    <n v="0.85195681511470989"/>
    <x v="10"/>
    <x v="0"/>
  </r>
  <r>
    <n v="14"/>
    <n v="10951"/>
    <x v="9"/>
    <n v="1316"/>
    <n v="1569"/>
    <n v="0.83875079668578711"/>
    <x v="10"/>
    <x v="0"/>
  </r>
  <r>
    <n v="15"/>
    <n v="11882"/>
    <x v="6"/>
    <n v="705"/>
    <n v="836"/>
    <n v="0.84330143540669855"/>
    <x v="10"/>
    <x v="0"/>
  </r>
  <r>
    <n v="16"/>
    <n v="241"/>
    <x v="16"/>
    <n v="1226"/>
    <n v="1621"/>
    <n v="0.75632325724861194"/>
    <x v="10"/>
    <x v="0"/>
  </r>
  <r>
    <n v="17"/>
    <n v="239"/>
    <x v="19"/>
    <n v="2458"/>
    <n v="3621"/>
    <n v="0.67881800607566967"/>
    <x v="10"/>
    <x v="0"/>
  </r>
  <r>
    <n v="18"/>
    <n v="11931"/>
    <x v="0"/>
    <n v="2433"/>
    <n v="3892"/>
    <n v="0.62512846865364846"/>
    <x v="10"/>
    <x v="0"/>
  </r>
  <r>
    <n v="19"/>
    <n v="243"/>
    <x v="2"/>
    <n v="1402"/>
    <n v="2463"/>
    <n v="0.56922452293950465"/>
    <x v="10"/>
    <x v="0"/>
  </r>
  <r>
    <n v="20"/>
    <n v="235"/>
    <x v="14"/>
    <n v="1403"/>
    <n v="5611"/>
    <n v="0.25004455533772946"/>
    <x v="10"/>
    <x v="0"/>
  </r>
  <r>
    <n v="21"/>
    <n v="238"/>
    <x v="7"/>
    <n v="320"/>
    <n v="2095"/>
    <n v="0.15274463007159905"/>
    <x v="10"/>
    <x v="0"/>
  </r>
  <r>
    <n v="1"/>
    <n v="1557"/>
    <x v="5"/>
    <n v="1056"/>
    <n v="1067"/>
    <n v="0.98969072164948457"/>
    <x v="11"/>
    <x v="0"/>
  </r>
  <r>
    <n v="2"/>
    <n v="242"/>
    <x v="12"/>
    <n v="3029"/>
    <n v="3066"/>
    <n v="0.98793215916503585"/>
    <x v="11"/>
    <x v="0"/>
  </r>
  <r>
    <n v="3"/>
    <n v="28745"/>
    <x v="8"/>
    <n v="467"/>
    <n v="471"/>
    <n v="0.99150743099787686"/>
    <x v="11"/>
    <x v="0"/>
  </r>
  <r>
    <n v="4"/>
    <n v="11117"/>
    <x v="1"/>
    <n v="6520"/>
    <n v="6764"/>
    <n v="0.96392667060910708"/>
    <x v="11"/>
    <x v="0"/>
  </r>
  <r>
    <n v="5"/>
    <n v="234"/>
    <x v="11"/>
    <n v="3328"/>
    <n v="3627"/>
    <n v="0.91756272401433692"/>
    <x v="11"/>
    <x v="0"/>
  </r>
  <r>
    <n v="6"/>
    <n v="11799"/>
    <x v="4"/>
    <n v="886"/>
    <n v="981"/>
    <n v="0.90316004077471967"/>
    <x v="11"/>
    <x v="0"/>
  </r>
  <r>
    <n v="7"/>
    <n v="11931"/>
    <x v="21"/>
    <n v="1617"/>
    <n v="1806"/>
    <n v="0.89534883720930236"/>
    <x v="11"/>
    <x v="0"/>
  </r>
  <r>
    <n v="8"/>
    <n v="10904"/>
    <x v="13"/>
    <n v="1452"/>
    <n v="1651"/>
    <n v="0.87946698970321013"/>
    <x v="11"/>
    <x v="0"/>
  </r>
  <r>
    <n v="9"/>
    <n v="11882"/>
    <x v="6"/>
    <n v="845"/>
    <n v="956"/>
    <n v="0.88389121338912136"/>
    <x v="11"/>
    <x v="0"/>
  </r>
  <r>
    <n v="10"/>
    <n v="10951"/>
    <x v="9"/>
    <n v="1213"/>
    <n v="1389"/>
    <n v="0.87329013678905687"/>
    <x v="11"/>
    <x v="0"/>
  </r>
  <r>
    <n v="11"/>
    <n v="239"/>
    <x v="19"/>
    <n v="2491"/>
    <n v="2879"/>
    <n v="0.86523098298020151"/>
    <x v="11"/>
    <x v="0"/>
  </r>
  <r>
    <n v="12"/>
    <n v="246"/>
    <x v="17"/>
    <n v="2793"/>
    <n v="3245"/>
    <n v="0.86070878274268103"/>
    <x v="11"/>
    <x v="0"/>
  </r>
  <r>
    <n v="13"/>
    <n v="11116"/>
    <x v="10"/>
    <n v="5539"/>
    <n v="6485"/>
    <n v="0.85412490362374716"/>
    <x v="11"/>
    <x v="0"/>
  </r>
  <r>
    <n v="14"/>
    <n v="241"/>
    <x v="16"/>
    <n v="1834"/>
    <n v="2195"/>
    <n v="0.83553530751708427"/>
    <x v="11"/>
    <x v="0"/>
  </r>
  <r>
    <n v="15"/>
    <n v="240"/>
    <x v="18"/>
    <n v="1882"/>
    <n v="2373"/>
    <n v="0.79308891698272233"/>
    <x v="11"/>
    <x v="0"/>
  </r>
  <r>
    <n v="16"/>
    <n v="233"/>
    <x v="3"/>
    <n v="4423"/>
    <n v="5834"/>
    <n v="0.75814192663695579"/>
    <x v="11"/>
    <x v="0"/>
  </r>
  <r>
    <n v="17"/>
    <n v="237"/>
    <x v="15"/>
    <n v="2047"/>
    <n v="2680"/>
    <n v="0.76380597014925378"/>
    <x v="11"/>
    <x v="0"/>
  </r>
  <r>
    <n v="18"/>
    <n v="236"/>
    <x v="20"/>
    <n v="2159"/>
    <n v="3358"/>
    <n v="0.64294222751637875"/>
    <x v="11"/>
    <x v="0"/>
  </r>
  <r>
    <n v="19"/>
    <n v="235"/>
    <x v="14"/>
    <n v="2185"/>
    <n v="3891"/>
    <n v="0.56155230017990232"/>
    <x v="11"/>
    <x v="0"/>
  </r>
  <r>
    <n v="20"/>
    <n v="238"/>
    <x v="7"/>
    <n v="262"/>
    <n v="935"/>
    <n v="0.28021390374331551"/>
    <x v="11"/>
    <x v="0"/>
  </r>
  <r>
    <n v="21"/>
    <n v="243"/>
    <x v="2"/>
    <n v="244"/>
    <n v="2561"/>
    <n v="9.5275283092541976E-2"/>
    <x v="11"/>
    <x v="0"/>
  </r>
  <r>
    <n v="1"/>
    <n v="11882"/>
    <x v="6"/>
    <n v="244"/>
    <n v="245"/>
    <n v="0.99591836734693873"/>
    <x v="0"/>
    <x v="1"/>
  </r>
  <r>
    <n v="2"/>
    <n v="242"/>
    <x v="12"/>
    <n v="886"/>
    <n v="889"/>
    <n v="0.99662542182227221"/>
    <x v="0"/>
    <x v="1"/>
  </r>
  <r>
    <n v="3"/>
    <n v="28745"/>
    <x v="8"/>
    <n v="132"/>
    <n v="132"/>
    <n v="1"/>
    <x v="0"/>
    <x v="1"/>
  </r>
  <r>
    <n v="4"/>
    <n v="234"/>
    <x v="11"/>
    <n v="1093"/>
    <n v="1103"/>
    <n v="0.99093381686310067"/>
    <x v="0"/>
    <x v="1"/>
  </r>
  <r>
    <n v="5"/>
    <n v="236"/>
    <x v="20"/>
    <n v="1060"/>
    <n v="1072"/>
    <n v="0.98880597014925375"/>
    <x v="0"/>
    <x v="1"/>
  </r>
  <r>
    <n v="6"/>
    <n v="246"/>
    <x v="17"/>
    <n v="889"/>
    <n v="897"/>
    <n v="0.99108138238573018"/>
    <x v="0"/>
    <x v="1"/>
  </r>
  <r>
    <n v="7"/>
    <n v="10904"/>
    <x v="13"/>
    <n v="326"/>
    <n v="331"/>
    <n v="0.98489425981873113"/>
    <x v="0"/>
    <x v="1"/>
  </r>
  <r>
    <n v="8"/>
    <n v="11117"/>
    <x v="1"/>
    <n v="2816"/>
    <n v="2998"/>
    <n v="0.93929286190793859"/>
    <x v="0"/>
    <x v="1"/>
  </r>
  <r>
    <n v="9"/>
    <n v="11799"/>
    <x v="4"/>
    <n v="237"/>
    <n v="255"/>
    <n v="0.92941176470588238"/>
    <x v="0"/>
    <x v="1"/>
  </r>
  <r>
    <n v="10"/>
    <n v="10951"/>
    <x v="9"/>
    <n v="513"/>
    <n v="559"/>
    <n v="0.91771019677996424"/>
    <x v="0"/>
    <x v="1"/>
  </r>
  <r>
    <n v="11"/>
    <n v="240"/>
    <x v="18"/>
    <n v="796"/>
    <n v="867"/>
    <n v="0.91810841983852365"/>
    <x v="0"/>
    <x v="1"/>
  </r>
  <r>
    <n v="12"/>
    <n v="11931"/>
    <x v="0"/>
    <n v="716"/>
    <n v="781"/>
    <n v="0.91677336747759286"/>
    <x v="0"/>
    <x v="1"/>
  </r>
  <r>
    <n v="13"/>
    <n v="1557"/>
    <x v="5"/>
    <n v="358"/>
    <n v="400"/>
    <n v="0.89500000000000002"/>
    <x v="0"/>
    <x v="1"/>
  </r>
  <r>
    <n v="14"/>
    <n v="11116"/>
    <x v="10"/>
    <n v="2725"/>
    <n v="3152"/>
    <n v="0.86453045685279184"/>
    <x v="0"/>
    <x v="1"/>
  </r>
  <r>
    <n v="15"/>
    <n v="233"/>
    <x v="3"/>
    <n v="2839"/>
    <n v="3377"/>
    <n v="0.84068700029612087"/>
    <x v="0"/>
    <x v="1"/>
  </r>
  <r>
    <n v="16"/>
    <n v="241"/>
    <x v="16"/>
    <n v="537"/>
    <n v="642"/>
    <n v="0.83644859813084116"/>
    <x v="0"/>
    <x v="1"/>
  </r>
  <r>
    <n v="17"/>
    <n v="237"/>
    <x v="15"/>
    <n v="1240"/>
    <n v="1619"/>
    <n v="0.76590487955528108"/>
    <x v="0"/>
    <x v="1"/>
  </r>
  <r>
    <n v="18"/>
    <n v="235"/>
    <x v="14"/>
    <n v="893"/>
    <n v="1831"/>
    <n v="0.48771163298743858"/>
    <x v="0"/>
    <x v="1"/>
  </r>
  <r>
    <n v="19"/>
    <n v="239"/>
    <x v="19"/>
    <n v="220"/>
    <n v="815"/>
    <n v="0.26993865030674846"/>
    <x v="0"/>
    <x v="1"/>
  </r>
  <r>
    <n v="20"/>
    <n v="243"/>
    <x v="2"/>
    <n v="188"/>
    <n v="1693"/>
    <n v="0.11104548139397519"/>
    <x v="0"/>
    <x v="1"/>
  </r>
  <r>
    <n v="21"/>
    <n v="238"/>
    <x v="7"/>
    <n v="13"/>
    <n v="885"/>
    <n v="1.4689265536723164E-2"/>
    <x v="0"/>
    <x v="1"/>
  </r>
  <r>
    <n v="1"/>
    <n v="1557"/>
    <x v="5"/>
    <n v="441"/>
    <n v="442"/>
    <n v="0.99773755656108598"/>
    <x v="1"/>
    <x v="1"/>
  </r>
  <r>
    <n v="2"/>
    <n v="242"/>
    <x v="12"/>
    <n v="1357"/>
    <n v="1363"/>
    <n v="0.99559794570799709"/>
    <x v="1"/>
    <x v="1"/>
  </r>
  <r>
    <n v="3"/>
    <n v="246"/>
    <x v="17"/>
    <n v="1487"/>
    <n v="1502"/>
    <n v="0.99001331557922767"/>
    <x v="1"/>
    <x v="1"/>
  </r>
  <r>
    <n v="4"/>
    <n v="28745"/>
    <x v="8"/>
    <n v="105"/>
    <n v="107"/>
    <n v="0.98130841121495327"/>
    <x v="1"/>
    <x v="1"/>
  </r>
  <r>
    <n v="5"/>
    <n v="11117"/>
    <x v="1"/>
    <n v="3778"/>
    <n v="3877"/>
    <n v="0.97446479236523087"/>
    <x v="1"/>
    <x v="1"/>
  </r>
  <r>
    <n v="6"/>
    <n v="234"/>
    <x v="11"/>
    <n v="1678"/>
    <n v="1738"/>
    <n v="0.96547756041426924"/>
    <x v="1"/>
    <x v="1"/>
  </r>
  <r>
    <n v="7"/>
    <n v="11882"/>
    <x v="6"/>
    <n v="298"/>
    <n v="314"/>
    <n v="0.94904458598726116"/>
    <x v="1"/>
    <x v="1"/>
  </r>
  <r>
    <n v="8"/>
    <n v="240"/>
    <x v="18"/>
    <n v="1386"/>
    <n v="1468"/>
    <n v="0.94414168937329701"/>
    <x v="1"/>
    <x v="1"/>
  </r>
  <r>
    <n v="9"/>
    <n v="11799"/>
    <x v="4"/>
    <n v="730"/>
    <n v="783"/>
    <n v="0.9323116219667944"/>
    <x v="1"/>
    <x v="1"/>
  </r>
  <r>
    <n v="10"/>
    <n v="233"/>
    <x v="3"/>
    <n v="3494"/>
    <n v="3920"/>
    <n v="0.89132653061224487"/>
    <x v="1"/>
    <x v="1"/>
  </r>
  <r>
    <n v="11"/>
    <n v="237"/>
    <x v="15"/>
    <n v="1366"/>
    <n v="1541"/>
    <n v="0.88643737832576253"/>
    <x v="1"/>
    <x v="1"/>
  </r>
  <r>
    <n v="12"/>
    <n v="11116"/>
    <x v="10"/>
    <n v="1864"/>
    <n v="2147"/>
    <n v="0.86818816953889144"/>
    <x v="1"/>
    <x v="1"/>
  </r>
  <r>
    <n v="13"/>
    <n v="11931"/>
    <x v="0"/>
    <n v="629"/>
    <n v="721"/>
    <n v="0.87239944521497914"/>
    <x v="1"/>
    <x v="1"/>
  </r>
  <r>
    <n v="14"/>
    <n v="10951"/>
    <x v="9"/>
    <n v="486"/>
    <n v="565"/>
    <n v="0.86017699115044244"/>
    <x v="1"/>
    <x v="1"/>
  </r>
  <r>
    <n v="15"/>
    <n v="239"/>
    <x v="19"/>
    <n v="1141"/>
    <n v="1338"/>
    <n v="0.85276532137518679"/>
    <x v="1"/>
    <x v="1"/>
  </r>
  <r>
    <n v="16"/>
    <n v="10904"/>
    <x v="13"/>
    <n v="668"/>
    <n v="809"/>
    <n v="0.82571075401730532"/>
    <x v="1"/>
    <x v="1"/>
  </r>
  <r>
    <n v="17"/>
    <n v="241"/>
    <x v="16"/>
    <n v="367"/>
    <n v="443"/>
    <n v="0.82844243792325056"/>
    <x v="1"/>
    <x v="1"/>
  </r>
  <r>
    <n v="18"/>
    <n v="236"/>
    <x v="20"/>
    <n v="682"/>
    <n v="939"/>
    <n v="0.72630457933972314"/>
    <x v="1"/>
    <x v="1"/>
  </r>
  <r>
    <n v="19"/>
    <n v="235"/>
    <x v="14"/>
    <n v="1624"/>
    <n v="2549"/>
    <n v="0.63711259317379365"/>
    <x v="1"/>
    <x v="1"/>
  </r>
  <r>
    <n v="20"/>
    <n v="243"/>
    <x v="2"/>
    <n v="1042"/>
    <n v="2218"/>
    <n v="0.46979260595130751"/>
    <x v="1"/>
    <x v="1"/>
  </r>
  <r>
    <n v="21"/>
    <n v="238"/>
    <x v="7"/>
    <n v="6"/>
    <n v="277"/>
    <n v="2.1660649819494584E-2"/>
    <x v="1"/>
    <x v="1"/>
  </r>
  <r>
    <n v="1"/>
    <n v="1557"/>
    <x v="5"/>
    <n v="1273"/>
    <n v="1275"/>
    <n v="0.99843137254901959"/>
    <x v="2"/>
    <x v="1"/>
  </r>
  <r>
    <n v="2"/>
    <n v="28745"/>
    <x v="8"/>
    <n v="336"/>
    <n v="336"/>
    <n v="1"/>
    <x v="2"/>
    <x v="1"/>
  </r>
  <r>
    <n v="3"/>
    <n v="246"/>
    <x v="17"/>
    <n v="2886"/>
    <n v="2918"/>
    <n v="0.98903358464701852"/>
    <x v="2"/>
    <x v="1"/>
  </r>
  <r>
    <n v="4"/>
    <n v="11117"/>
    <x v="1"/>
    <n v="8588"/>
    <n v="8750"/>
    <n v="0.98148571428571429"/>
    <x v="2"/>
    <x v="1"/>
  </r>
  <r>
    <n v="5"/>
    <n v="236"/>
    <x v="20"/>
    <n v="3310"/>
    <n v="3361"/>
    <n v="0.9848259446593276"/>
    <x v="2"/>
    <x v="1"/>
  </r>
  <r>
    <n v="6"/>
    <n v="10951"/>
    <x v="9"/>
    <n v="1736"/>
    <n v="1811"/>
    <n v="0.95858641634456099"/>
    <x v="2"/>
    <x v="1"/>
  </r>
  <r>
    <n v="7"/>
    <n v="234"/>
    <x v="11"/>
    <n v="3801"/>
    <n v="3976"/>
    <n v="0.95598591549295775"/>
    <x v="2"/>
    <x v="1"/>
  </r>
  <r>
    <n v="8"/>
    <n v="11799"/>
    <x v="4"/>
    <n v="1640"/>
    <n v="1726"/>
    <n v="0.95017381228273468"/>
    <x v="2"/>
    <x v="1"/>
  </r>
  <r>
    <n v="9"/>
    <n v="11116"/>
    <x v="10"/>
    <n v="6831"/>
    <n v="7463"/>
    <n v="0.91531555674661669"/>
    <x v="2"/>
    <x v="1"/>
  </r>
  <r>
    <n v="10"/>
    <n v="233"/>
    <x v="3"/>
    <n v="6334"/>
    <n v="6880"/>
    <n v="0.92063953488372097"/>
    <x v="2"/>
    <x v="1"/>
  </r>
  <r>
    <n v="11"/>
    <n v="239"/>
    <x v="19"/>
    <n v="3929"/>
    <n v="4309"/>
    <n v="0.91181248549547456"/>
    <x v="2"/>
    <x v="1"/>
  </r>
  <r>
    <n v="12"/>
    <n v="11931"/>
    <x v="0"/>
    <n v="1775"/>
    <n v="1971"/>
    <n v="0.90055809233891426"/>
    <x v="2"/>
    <x v="1"/>
  </r>
  <r>
    <n v="13"/>
    <n v="11882"/>
    <x v="6"/>
    <n v="1365"/>
    <n v="1536"/>
    <n v="0.888671875"/>
    <x v="2"/>
    <x v="1"/>
  </r>
  <r>
    <n v="14"/>
    <n v="241"/>
    <x v="16"/>
    <n v="2240"/>
    <n v="2513"/>
    <n v="0.89136490250696376"/>
    <x v="2"/>
    <x v="1"/>
  </r>
  <r>
    <n v="15"/>
    <n v="10904"/>
    <x v="13"/>
    <n v="1415"/>
    <n v="1604"/>
    <n v="0.88216957605985036"/>
    <x v="2"/>
    <x v="1"/>
  </r>
  <r>
    <n v="16"/>
    <n v="243"/>
    <x v="2"/>
    <n v="2661"/>
    <n v="3142"/>
    <n v="0.84691279439847234"/>
    <x v="2"/>
    <x v="1"/>
  </r>
  <r>
    <n v="17"/>
    <n v="242"/>
    <x v="12"/>
    <n v="3501"/>
    <n v="4211"/>
    <n v="0.83139396817857991"/>
    <x v="2"/>
    <x v="1"/>
  </r>
  <r>
    <n v="18"/>
    <n v="235"/>
    <x v="14"/>
    <n v="3243"/>
    <n v="4265"/>
    <n v="0.76037514654161786"/>
    <x v="2"/>
    <x v="1"/>
  </r>
  <r>
    <n v="19"/>
    <n v="237"/>
    <x v="15"/>
    <n v="3196"/>
    <n v="4618"/>
    <n v="0.69207449112169772"/>
    <x v="2"/>
    <x v="1"/>
  </r>
  <r>
    <n v="20"/>
    <n v="240"/>
    <x v="18"/>
    <n v="2208"/>
    <n v="3304"/>
    <n v="0.66828087167070216"/>
    <x v="2"/>
    <x v="1"/>
  </r>
  <r>
    <n v="21"/>
    <n v="238"/>
    <x v="7"/>
    <n v="1721"/>
    <n v="2690"/>
    <n v="0.63977695167286242"/>
    <x v="2"/>
    <x v="1"/>
  </r>
  <r>
    <n v="1"/>
    <n v="1557"/>
    <x v="5"/>
    <n v="1459"/>
    <n v="1464"/>
    <n v="0.99658469945355188"/>
    <x v="3"/>
    <x v="1"/>
  </r>
  <r>
    <n v="2"/>
    <n v="28745"/>
    <x v="8"/>
    <n v="484"/>
    <n v="486"/>
    <n v="0.99588477366255146"/>
    <x v="3"/>
    <x v="1"/>
  </r>
  <r>
    <n v="3"/>
    <n v="242"/>
    <x v="12"/>
    <n v="3435"/>
    <n v="3463"/>
    <n v="0.99191452497834243"/>
    <x v="3"/>
    <x v="1"/>
  </r>
  <r>
    <n v="4"/>
    <n v="246"/>
    <x v="17"/>
    <n v="2795"/>
    <n v="2813"/>
    <n v="0.99360113757554214"/>
    <x v="3"/>
    <x v="1"/>
  </r>
  <r>
    <n v="5"/>
    <n v="11117"/>
    <x v="1"/>
    <n v="8605"/>
    <n v="8830"/>
    <n v="0.97451868629671579"/>
    <x v="3"/>
    <x v="1"/>
  </r>
  <r>
    <n v="6"/>
    <n v="234"/>
    <x v="11"/>
    <n v="3269"/>
    <n v="3391"/>
    <n v="0.96402241226776764"/>
    <x v="3"/>
    <x v="1"/>
  </r>
  <r>
    <n v="7"/>
    <n v="236"/>
    <x v="20"/>
    <n v="3746"/>
    <n v="3910"/>
    <n v="0.95805626598465476"/>
    <x v="3"/>
    <x v="1"/>
  </r>
  <r>
    <n v="8"/>
    <n v="10951"/>
    <x v="9"/>
    <n v="1404"/>
    <n v="1475"/>
    <n v="0.951864406779661"/>
    <x v="3"/>
    <x v="1"/>
  </r>
  <r>
    <n v="9"/>
    <n v="11799"/>
    <x v="4"/>
    <n v="1631"/>
    <n v="1712"/>
    <n v="0.95268691588785048"/>
    <x v="3"/>
    <x v="1"/>
  </r>
  <r>
    <n v="10"/>
    <n v="240"/>
    <x v="18"/>
    <n v="2502"/>
    <n v="2636"/>
    <n v="0.9491654021244309"/>
    <x v="3"/>
    <x v="1"/>
  </r>
  <r>
    <n v="11"/>
    <n v="11116"/>
    <x v="10"/>
    <n v="6837"/>
    <n v="7410"/>
    <n v="0.92267206477732788"/>
    <x v="3"/>
    <x v="1"/>
  </r>
  <r>
    <n v="12"/>
    <n v="241"/>
    <x v="16"/>
    <n v="2633"/>
    <n v="2856"/>
    <n v="0.92191876750700286"/>
    <x v="3"/>
    <x v="1"/>
  </r>
  <r>
    <n v="13"/>
    <n v="243"/>
    <x v="2"/>
    <n v="2951"/>
    <n v="3198"/>
    <n v="0.92276422764227639"/>
    <x v="3"/>
    <x v="1"/>
  </r>
  <r>
    <n v="14"/>
    <n v="11931"/>
    <x v="0"/>
    <n v="1696"/>
    <n v="1869"/>
    <n v="0.90743713215623323"/>
    <x v="3"/>
    <x v="1"/>
  </r>
  <r>
    <n v="15"/>
    <n v="10904"/>
    <x v="13"/>
    <n v="1055"/>
    <n v="1177"/>
    <n v="0.89634664401019537"/>
    <x v="3"/>
    <x v="1"/>
  </r>
  <r>
    <n v="16"/>
    <n v="11882"/>
    <x v="6"/>
    <n v="993"/>
    <n v="1098"/>
    <n v="0.90437158469945356"/>
    <x v="3"/>
    <x v="1"/>
  </r>
  <r>
    <n v="17"/>
    <n v="233"/>
    <x v="3"/>
    <n v="5768"/>
    <n v="6576"/>
    <n v="0.87712895377128952"/>
    <x v="3"/>
    <x v="1"/>
  </r>
  <r>
    <n v="18"/>
    <n v="238"/>
    <x v="7"/>
    <n v="1306"/>
    <n v="1483"/>
    <n v="0.88064733648010785"/>
    <x v="3"/>
    <x v="1"/>
  </r>
  <r>
    <n v="19"/>
    <n v="235"/>
    <x v="14"/>
    <n v="3427"/>
    <n v="4578"/>
    <n v="0.74858016601135868"/>
    <x v="3"/>
    <x v="1"/>
  </r>
  <r>
    <n v="20"/>
    <n v="237"/>
    <x v="15"/>
    <n v="1475"/>
    <n v="2406"/>
    <n v="0.61305070656691607"/>
    <x v="3"/>
    <x v="1"/>
  </r>
  <r>
    <n v="21"/>
    <n v="239"/>
    <x v="19"/>
    <n v="234"/>
    <n v="2010"/>
    <n v="0.11641791044776119"/>
    <x v="3"/>
    <x v="1"/>
  </r>
  <r>
    <n v="1"/>
    <n v="1557"/>
    <x v="5"/>
    <n v="812"/>
    <n v="812"/>
    <n v="1"/>
    <x v="4"/>
    <x v="1"/>
  </r>
  <r>
    <n v="2"/>
    <n v="236"/>
    <x v="20"/>
    <n v="2274"/>
    <n v="2290"/>
    <n v="0.99301310043668123"/>
    <x v="4"/>
    <x v="1"/>
  </r>
  <r>
    <n v="3"/>
    <n v="241"/>
    <x v="16"/>
    <n v="1406"/>
    <n v="1420"/>
    <n v="0.99014084507042255"/>
    <x v="4"/>
    <x v="1"/>
  </r>
  <r>
    <n v="4"/>
    <n v="242"/>
    <x v="12"/>
    <n v="2527"/>
    <n v="2543"/>
    <n v="0.99370821863940229"/>
    <x v="4"/>
    <x v="1"/>
  </r>
  <r>
    <n v="5"/>
    <n v="246"/>
    <x v="17"/>
    <n v="1456"/>
    <n v="1468"/>
    <n v="0.99182561307901906"/>
    <x v="4"/>
    <x v="1"/>
  </r>
  <r>
    <n v="6"/>
    <n v="28745"/>
    <x v="8"/>
    <n v="320"/>
    <n v="322"/>
    <n v="0.99378881987577639"/>
    <x v="4"/>
    <x v="1"/>
  </r>
  <r>
    <n v="7"/>
    <n v="10951"/>
    <x v="9"/>
    <n v="1338"/>
    <n v="1383"/>
    <n v="0.96746203904555317"/>
    <x v="4"/>
    <x v="1"/>
  </r>
  <r>
    <n v="8"/>
    <n v="11882"/>
    <x v="6"/>
    <n v="503"/>
    <n v="516"/>
    <n v="0.97480620155038755"/>
    <x v="4"/>
    <x v="1"/>
  </r>
  <r>
    <n v="9"/>
    <n v="11117"/>
    <x v="1"/>
    <n v="7170"/>
    <n v="7457"/>
    <n v="0.96151267265656426"/>
    <x v="4"/>
    <x v="1"/>
  </r>
  <r>
    <n v="10"/>
    <n v="234"/>
    <x v="11"/>
    <n v="2416"/>
    <n v="2532"/>
    <n v="0.95418641390205372"/>
    <x v="4"/>
    <x v="1"/>
  </r>
  <r>
    <n v="11"/>
    <n v="240"/>
    <x v="18"/>
    <n v="2299"/>
    <n v="2454"/>
    <n v="0.93683781581092096"/>
    <x v="4"/>
    <x v="1"/>
  </r>
  <r>
    <n v="12"/>
    <n v="11116"/>
    <x v="10"/>
    <n v="7588"/>
    <n v="8311"/>
    <n v="0.91300685838045958"/>
    <x v="4"/>
    <x v="1"/>
  </r>
  <r>
    <n v="13"/>
    <n v="238"/>
    <x v="7"/>
    <n v="1527"/>
    <n v="1685"/>
    <n v="0.90623145400593474"/>
    <x v="4"/>
    <x v="1"/>
  </r>
  <r>
    <n v="14"/>
    <n v="11931"/>
    <x v="0"/>
    <n v="1930"/>
    <n v="2176"/>
    <n v="0.88694852941176472"/>
    <x v="4"/>
    <x v="1"/>
  </r>
  <r>
    <n v="15"/>
    <n v="10904"/>
    <x v="13"/>
    <n v="999"/>
    <n v="1177"/>
    <n v="0.84876805437553104"/>
    <x v="4"/>
    <x v="1"/>
  </r>
  <r>
    <n v="16"/>
    <n v="11799"/>
    <x v="4"/>
    <n v="1013"/>
    <n v="1217"/>
    <n v="0.83237469186524238"/>
    <x v="4"/>
    <x v="1"/>
  </r>
  <r>
    <n v="17"/>
    <n v="235"/>
    <x v="14"/>
    <n v="2208"/>
    <n v="2663"/>
    <n v="0.82914006759294034"/>
    <x v="4"/>
    <x v="1"/>
  </r>
  <r>
    <n v="18"/>
    <n v="233"/>
    <x v="3"/>
    <n v="4337"/>
    <n v="5517"/>
    <n v="0.78611564255936195"/>
    <x v="4"/>
    <x v="1"/>
  </r>
  <r>
    <n v="19"/>
    <n v="243"/>
    <x v="2"/>
    <n v="1703"/>
    <n v="2390"/>
    <n v="0.71255230125523017"/>
    <x v="4"/>
    <x v="1"/>
  </r>
  <r>
    <n v="20"/>
    <n v="239"/>
    <x v="19"/>
    <n v="2000"/>
    <n v="3612"/>
    <n v="0.55370985603543743"/>
    <x v="4"/>
    <x v="1"/>
  </r>
  <r>
    <n v="21"/>
    <n v="237"/>
    <x v="15"/>
    <n v="2312"/>
    <n v="4837"/>
    <n v="0.47798222038453586"/>
    <x v="4"/>
    <x v="1"/>
  </r>
  <r>
    <n v="1"/>
    <n v="242"/>
    <x v="12"/>
    <n v="2763"/>
    <n v="2776"/>
    <n v="0.99531700288184433"/>
    <x v="5"/>
    <x v="1"/>
  </r>
  <r>
    <n v="2"/>
    <n v="1557"/>
    <x v="5"/>
    <n v="1154"/>
    <n v="1168"/>
    <n v="0.98801369863013699"/>
    <x v="5"/>
    <x v="1"/>
  </r>
  <r>
    <n v="3"/>
    <n v="236"/>
    <x v="20"/>
    <n v="3378"/>
    <n v="3429"/>
    <n v="0.98512685914260723"/>
    <x v="5"/>
    <x v="1"/>
  </r>
  <r>
    <n v="4"/>
    <n v="246"/>
    <x v="17"/>
    <n v="2564"/>
    <n v="2579"/>
    <n v="0.99418379216750674"/>
    <x v="5"/>
    <x v="1"/>
  </r>
  <r>
    <n v="5"/>
    <n v="28745"/>
    <x v="8"/>
    <n v="362"/>
    <n v="366"/>
    <n v="0.98907103825136611"/>
    <x v="5"/>
    <x v="1"/>
  </r>
  <r>
    <n v="6"/>
    <n v="11799"/>
    <x v="4"/>
    <n v="1419"/>
    <n v="1445"/>
    <n v="0.98200692041522486"/>
    <x v="5"/>
    <x v="1"/>
  </r>
  <r>
    <n v="7"/>
    <n v="11117"/>
    <x v="1"/>
    <n v="8794"/>
    <n v="9058"/>
    <n v="0.97085449326562157"/>
    <x v="5"/>
    <x v="1"/>
  </r>
  <r>
    <n v="8"/>
    <n v="241"/>
    <x v="16"/>
    <n v="1944"/>
    <n v="2044"/>
    <n v="0.95107632093933459"/>
    <x v="5"/>
    <x v="1"/>
  </r>
  <r>
    <n v="9"/>
    <n v="10951"/>
    <x v="9"/>
    <n v="1165"/>
    <n v="1236"/>
    <n v="0.94255663430420711"/>
    <x v="5"/>
    <x v="1"/>
  </r>
  <r>
    <n v="10"/>
    <n v="11882"/>
    <x v="6"/>
    <n v="720"/>
    <n v="762"/>
    <n v="0.94488188976377951"/>
    <x v="5"/>
    <x v="1"/>
  </r>
  <r>
    <n v="11"/>
    <n v="11116"/>
    <x v="10"/>
    <n v="6749"/>
    <n v="7494"/>
    <n v="0.90058713637576726"/>
    <x v="5"/>
    <x v="1"/>
  </r>
  <r>
    <n v="12"/>
    <n v="11931"/>
    <x v="21"/>
    <n v="1644"/>
    <n v="1840"/>
    <n v="0.89347826086956517"/>
    <x v="5"/>
    <x v="1"/>
  </r>
  <r>
    <n v="13"/>
    <n v="243"/>
    <x v="2"/>
    <n v="3219"/>
    <n v="3654"/>
    <n v="0.88095238095238093"/>
    <x v="5"/>
    <x v="1"/>
  </r>
  <r>
    <n v="14"/>
    <n v="240"/>
    <x v="18"/>
    <n v="1696"/>
    <n v="1949"/>
    <n v="0.87018984094407392"/>
    <x v="5"/>
    <x v="1"/>
  </r>
  <r>
    <n v="15"/>
    <n v="238"/>
    <x v="7"/>
    <n v="1117"/>
    <n v="1298"/>
    <n v="0.86055469953775043"/>
    <x v="5"/>
    <x v="1"/>
  </r>
  <r>
    <n v="16"/>
    <n v="237"/>
    <x v="15"/>
    <n v="3444"/>
    <n v="4044"/>
    <n v="0.85163204747774479"/>
    <x v="5"/>
    <x v="1"/>
  </r>
  <r>
    <n v="17"/>
    <n v="234"/>
    <x v="11"/>
    <n v="2956"/>
    <n v="3567"/>
    <n v="0.8287075974208018"/>
    <x v="5"/>
    <x v="1"/>
  </r>
  <r>
    <n v="18"/>
    <n v="10904"/>
    <x v="13"/>
    <n v="834"/>
    <n v="1015"/>
    <n v="0.82167487684729068"/>
    <x v="5"/>
    <x v="1"/>
  </r>
  <r>
    <n v="19"/>
    <n v="239"/>
    <x v="19"/>
    <n v="2213"/>
    <n v="2861"/>
    <n v="0.77350576721426079"/>
    <x v="5"/>
    <x v="1"/>
  </r>
  <r>
    <n v="20"/>
    <n v="233"/>
    <x v="3"/>
    <n v="5122"/>
    <n v="7007"/>
    <n v="0.73098330241187381"/>
    <x v="5"/>
    <x v="1"/>
  </r>
  <r>
    <n v="21"/>
    <n v="235"/>
    <x v="14"/>
    <n v="115"/>
    <n v="609"/>
    <n v="0.18883415435139572"/>
    <x v="5"/>
    <x v="1"/>
  </r>
  <r>
    <n v="1"/>
    <n v="1557"/>
    <x v="5"/>
    <n v="991"/>
    <n v="994"/>
    <n v="0.99698189134808857"/>
    <x v="6"/>
    <x v="1"/>
  </r>
  <r>
    <n v="2"/>
    <n v="28745"/>
    <x v="8"/>
    <n v="263"/>
    <n v="264"/>
    <n v="0.99621212121212122"/>
    <x v="6"/>
    <x v="1"/>
  </r>
  <r>
    <n v="3"/>
    <n v="242"/>
    <x v="12"/>
    <n v="3223"/>
    <n v="3247"/>
    <n v="0.99260856174930701"/>
    <x v="6"/>
    <x v="1"/>
  </r>
  <r>
    <n v="4"/>
    <n v="246"/>
    <x v="17"/>
    <n v="2598"/>
    <n v="2631"/>
    <n v="0.9874572405929305"/>
    <x v="6"/>
    <x v="1"/>
  </r>
  <r>
    <n v="5"/>
    <n v="11799"/>
    <x v="4"/>
    <n v="1076"/>
    <n v="1100"/>
    <n v="0.97818181818181815"/>
    <x v="6"/>
    <x v="1"/>
  </r>
  <r>
    <n v="6"/>
    <n v="243"/>
    <x v="2"/>
    <n v="2364"/>
    <n v="2467"/>
    <n v="0.95824888528577223"/>
    <x v="6"/>
    <x v="1"/>
  </r>
  <r>
    <n v="7"/>
    <n v="241"/>
    <x v="16"/>
    <n v="1832"/>
    <n v="1922"/>
    <n v="0.95317377731529651"/>
    <x v="6"/>
    <x v="1"/>
  </r>
  <r>
    <n v="8"/>
    <n v="11117"/>
    <x v="1"/>
    <n v="7232"/>
    <n v="7742"/>
    <n v="0.93412554895375877"/>
    <x v="6"/>
    <x v="1"/>
  </r>
  <r>
    <n v="9"/>
    <n v="234"/>
    <x v="11"/>
    <n v="2991"/>
    <n v="3201"/>
    <n v="0.93439550140581074"/>
    <x v="6"/>
    <x v="1"/>
  </r>
  <r>
    <n v="10"/>
    <n v="236"/>
    <x v="20"/>
    <n v="3432"/>
    <n v="3705"/>
    <n v="0.9263157894736842"/>
    <x v="6"/>
    <x v="1"/>
  </r>
  <r>
    <n v="11"/>
    <n v="10951"/>
    <x v="9"/>
    <n v="1010"/>
    <n v="1111"/>
    <n v="0.90909090909090906"/>
    <x v="6"/>
    <x v="1"/>
  </r>
  <r>
    <n v="12"/>
    <n v="11116"/>
    <x v="10"/>
    <n v="6969"/>
    <n v="7721"/>
    <n v="0.9026032897293097"/>
    <x v="6"/>
    <x v="1"/>
  </r>
  <r>
    <n v="13"/>
    <n v="239"/>
    <x v="19"/>
    <n v="2820"/>
    <n v="3183"/>
    <n v="0.88595664467483504"/>
    <x v="6"/>
    <x v="1"/>
  </r>
  <r>
    <n v="14"/>
    <n v="11931"/>
    <x v="0"/>
    <n v="1779"/>
    <n v="1994"/>
    <n v="0.89217652958876625"/>
    <x v="6"/>
    <x v="1"/>
  </r>
  <r>
    <n v="15"/>
    <n v="11882"/>
    <x v="6"/>
    <n v="1027"/>
    <n v="1215"/>
    <n v="0.84526748971193411"/>
    <x v="6"/>
    <x v="1"/>
  </r>
  <r>
    <n v="16"/>
    <n v="233"/>
    <x v="3"/>
    <n v="5564"/>
    <n v="6699"/>
    <n v="0.83057172712345129"/>
    <x v="6"/>
    <x v="1"/>
  </r>
  <r>
    <n v="17"/>
    <n v="10904"/>
    <x v="13"/>
    <n v="1188"/>
    <n v="1482"/>
    <n v="0.80161943319838058"/>
    <x v="6"/>
    <x v="1"/>
  </r>
  <r>
    <n v="18"/>
    <n v="237"/>
    <x v="15"/>
    <n v="2383"/>
    <n v="3762"/>
    <n v="0.63343965975544925"/>
    <x v="6"/>
    <x v="1"/>
  </r>
  <r>
    <n v="19"/>
    <n v="238"/>
    <x v="7"/>
    <n v="320"/>
    <n v="594"/>
    <n v="0.53872053872053871"/>
    <x v="6"/>
    <x v="1"/>
  </r>
  <r>
    <n v="20"/>
    <n v="240"/>
    <x v="18"/>
    <n v="555"/>
    <n v="2048"/>
    <n v="0.27099609375"/>
    <x v="6"/>
    <x v="1"/>
  </r>
  <r>
    <n v="21"/>
    <n v="235"/>
    <x v="14"/>
    <n v="47"/>
    <n v="623"/>
    <n v="7.5441412520064199E-2"/>
    <x v="6"/>
    <x v="1"/>
  </r>
  <r>
    <n v="1"/>
    <n v="242"/>
    <x v="12"/>
    <n v="2841"/>
    <n v="2869"/>
    <n v="0.99024050191704427"/>
    <x v="7"/>
    <x v="1"/>
  </r>
  <r>
    <n v="2"/>
    <n v="28745"/>
    <x v="8"/>
    <n v="326"/>
    <n v="328"/>
    <n v="0.99390243902439024"/>
    <x v="7"/>
    <x v="1"/>
  </r>
  <r>
    <n v="3"/>
    <n v="236"/>
    <x v="20"/>
    <n v="3350"/>
    <n v="3410"/>
    <n v="0.98240469208211145"/>
    <x v="7"/>
    <x v="1"/>
  </r>
  <r>
    <n v="4"/>
    <n v="11117"/>
    <x v="1"/>
    <n v="8026"/>
    <n v="8280"/>
    <n v="0.96932367149758458"/>
    <x v="7"/>
    <x v="1"/>
  </r>
  <r>
    <n v="5"/>
    <n v="11799"/>
    <x v="4"/>
    <n v="1108"/>
    <n v="1141"/>
    <n v="0.97107800175284842"/>
    <x v="7"/>
    <x v="1"/>
  </r>
  <r>
    <n v="6"/>
    <n v="235"/>
    <x v="14"/>
    <n v="2307"/>
    <n v="2401"/>
    <n v="0.96084964598084133"/>
    <x v="7"/>
    <x v="1"/>
  </r>
  <r>
    <n v="7"/>
    <n v="11882"/>
    <x v="6"/>
    <n v="1006"/>
    <n v="1060"/>
    <n v="0.94905660377358492"/>
    <x v="7"/>
    <x v="1"/>
  </r>
  <r>
    <n v="8"/>
    <n v="246"/>
    <x v="17"/>
    <n v="2246"/>
    <n v="2388"/>
    <n v="0.94053601340033499"/>
    <x v="7"/>
    <x v="1"/>
  </r>
  <r>
    <n v="9"/>
    <n v="11931"/>
    <x v="21"/>
    <n v="1619"/>
    <n v="1758"/>
    <n v="0.9209328782707622"/>
    <x v="7"/>
    <x v="1"/>
  </r>
  <r>
    <n v="10"/>
    <n v="243"/>
    <x v="2"/>
    <n v="3183"/>
    <n v="3546"/>
    <n v="0.89763113367174285"/>
    <x v="7"/>
    <x v="1"/>
  </r>
  <r>
    <n v="11"/>
    <n v="10951"/>
    <x v="9"/>
    <n v="1235"/>
    <n v="1388"/>
    <n v="0.88976945244956773"/>
    <x v="7"/>
    <x v="1"/>
  </r>
  <r>
    <n v="12"/>
    <n v="11116"/>
    <x v="10"/>
    <n v="6898"/>
    <n v="7760"/>
    <n v="0.88891752577319583"/>
    <x v="7"/>
    <x v="1"/>
  </r>
  <r>
    <n v="13"/>
    <n v="234"/>
    <x v="11"/>
    <n v="3106"/>
    <n v="3600"/>
    <n v="0.86277777777777775"/>
    <x v="7"/>
    <x v="1"/>
  </r>
  <r>
    <n v="14"/>
    <n v="241"/>
    <x v="16"/>
    <n v="1921"/>
    <n v="2400"/>
    <n v="0.80041666666666667"/>
    <x v="7"/>
    <x v="1"/>
  </r>
  <r>
    <n v="15"/>
    <n v="10904"/>
    <x v="13"/>
    <n v="874"/>
    <n v="1112"/>
    <n v="0.78597122302158273"/>
    <x v="7"/>
    <x v="1"/>
  </r>
  <r>
    <n v="16"/>
    <n v="239"/>
    <x v="19"/>
    <n v="2147"/>
    <n v="2723"/>
    <n v="0.78846860080793246"/>
    <x v="7"/>
    <x v="1"/>
  </r>
  <r>
    <n v="17"/>
    <n v="233"/>
    <x v="3"/>
    <n v="5731"/>
    <n v="7422"/>
    <n v="0.77216383724063598"/>
    <x v="7"/>
    <x v="1"/>
  </r>
  <r>
    <n v="18"/>
    <n v="240"/>
    <x v="18"/>
    <n v="1911"/>
    <n v="2622"/>
    <n v="0.72883295194508013"/>
    <x v="7"/>
    <x v="1"/>
  </r>
  <r>
    <n v="19"/>
    <n v="237"/>
    <x v="15"/>
    <n v="3246"/>
    <n v="4765"/>
    <n v="0.68121720881427072"/>
    <x v="7"/>
    <x v="1"/>
  </r>
  <r>
    <n v="20"/>
    <n v="1557"/>
    <x v="5"/>
    <n v="314"/>
    <n v="508"/>
    <n v="0.61811023622047245"/>
    <x v="7"/>
    <x v="1"/>
  </r>
  <r>
    <n v="21"/>
    <n v="238"/>
    <x v="7"/>
    <n v="976"/>
    <n v="1906"/>
    <n v="0.51206715634837352"/>
    <x v="7"/>
    <x v="1"/>
  </r>
  <r>
    <n v="1"/>
    <n v="11117"/>
    <x v="1"/>
    <n v="6678"/>
    <n v="6860"/>
    <n v="0.97346938775510206"/>
    <x v="8"/>
    <x v="1"/>
  </r>
  <r>
    <n v="2"/>
    <n v="11799"/>
    <x v="4"/>
    <n v="2078"/>
    <n v="2132"/>
    <n v="0.97467166979362097"/>
    <x v="8"/>
    <x v="1"/>
  </r>
  <r>
    <n v="3"/>
    <n v="242"/>
    <x v="12"/>
    <n v="3173"/>
    <n v="3342"/>
    <n v="0.9494314781567923"/>
    <x v="8"/>
    <x v="1"/>
  </r>
  <r>
    <n v="4"/>
    <n v="11882"/>
    <x v="6"/>
    <n v="1074"/>
    <n v="1170"/>
    <n v="0.91794871794871791"/>
    <x v="8"/>
    <x v="1"/>
  </r>
  <r>
    <n v="5"/>
    <n v="234"/>
    <x v="11"/>
    <n v="2761"/>
    <n v="3009"/>
    <n v="0.91758059155865734"/>
    <x v="8"/>
    <x v="1"/>
  </r>
  <r>
    <n v="6"/>
    <n v="236"/>
    <x v="20"/>
    <n v="2843"/>
    <n v="3117"/>
    <n v="0.91209496310555016"/>
    <x v="8"/>
    <x v="1"/>
  </r>
  <r>
    <n v="7"/>
    <n v="11116"/>
    <x v="10"/>
    <n v="6694"/>
    <n v="7547"/>
    <n v="0.88697495693653106"/>
    <x v="8"/>
    <x v="1"/>
  </r>
  <r>
    <n v="8"/>
    <n v="241"/>
    <x v="16"/>
    <n v="1745"/>
    <n v="1963"/>
    <n v="0.8889454915944982"/>
    <x v="8"/>
    <x v="1"/>
  </r>
  <r>
    <n v="9"/>
    <n v="11931"/>
    <x v="0"/>
    <n v="1717"/>
    <n v="2006"/>
    <n v="0.85593220338983056"/>
    <x v="8"/>
    <x v="1"/>
  </r>
  <r>
    <n v="10"/>
    <n v="10951"/>
    <x v="9"/>
    <n v="1156"/>
    <n v="1362"/>
    <n v="0.84875183553597655"/>
    <x v="8"/>
    <x v="1"/>
  </r>
  <r>
    <n v="11"/>
    <n v="237"/>
    <x v="15"/>
    <n v="3936"/>
    <n v="4633"/>
    <n v="0.84955752212389379"/>
    <x v="8"/>
    <x v="1"/>
  </r>
  <r>
    <n v="12"/>
    <n v="10904"/>
    <x v="13"/>
    <n v="1118"/>
    <n v="1416"/>
    <n v="0.78954802259887003"/>
    <x v="8"/>
    <x v="1"/>
  </r>
  <r>
    <n v="13"/>
    <n v="233"/>
    <x v="3"/>
    <n v="6409"/>
    <n v="8163"/>
    <n v="0.78512801666054144"/>
    <x v="8"/>
    <x v="1"/>
  </r>
  <r>
    <n v="14"/>
    <n v="238"/>
    <x v="7"/>
    <n v="1468"/>
    <n v="2099"/>
    <n v="0.69938065745593136"/>
    <x v="8"/>
    <x v="1"/>
  </r>
  <r>
    <n v="15"/>
    <n v="246"/>
    <x v="17"/>
    <n v="1445"/>
    <n v="2076"/>
    <n v="0.69605009633911363"/>
    <x v="8"/>
    <x v="1"/>
  </r>
  <r>
    <n v="16"/>
    <n v="240"/>
    <x v="18"/>
    <n v="1368"/>
    <n v="1977"/>
    <n v="0.69195751138088013"/>
    <x v="8"/>
    <x v="1"/>
  </r>
  <r>
    <n v="17"/>
    <n v="235"/>
    <x v="14"/>
    <n v="2521"/>
    <n v="3692"/>
    <n v="0.68282773564463706"/>
    <x v="8"/>
    <x v="1"/>
  </r>
  <r>
    <n v="18"/>
    <n v="243"/>
    <x v="2"/>
    <n v="2459"/>
    <n v="3686"/>
    <n v="0.66711882799782962"/>
    <x v="8"/>
    <x v="1"/>
  </r>
  <r>
    <n v="19"/>
    <n v="1557"/>
    <x v="5"/>
    <n v="412"/>
    <n v="698"/>
    <n v="0.5902578796561605"/>
    <x v="8"/>
    <x v="1"/>
  </r>
  <r>
    <n v="20"/>
    <n v="239"/>
    <x v="19"/>
    <n v="1550"/>
    <n v="2647"/>
    <n v="0.58556856819040426"/>
    <x v="8"/>
    <x v="1"/>
  </r>
  <r>
    <n v="21"/>
    <n v="28745"/>
    <x v="8"/>
    <n v="349"/>
    <n v="784"/>
    <n v="0.44515306122448978"/>
    <x v="8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AF79A0-C0D2-46B0-B590-0FA2D020B43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41">
  <location ref="A4:B14" firstHeaderRow="1" firstDataRow="1" firstDataCol="1" rowPageCount="2" colPageCount="1"/>
  <pivotFields count="8">
    <pivotField showAll="0"/>
    <pivotField showAll="0"/>
    <pivotField axis="axisPage" multipleItemSelectionAllowed="1" showAll="0">
      <items count="23">
        <item h="1" x="2"/>
        <item h="1" x="11"/>
        <item h="1" x="16"/>
        <item h="1" x="6"/>
        <item h="1" x="18"/>
        <item h="1" x="21"/>
        <item h="1" x="1"/>
        <item h="1" x="17"/>
        <item h="1" x="8"/>
        <item h="1" x="20"/>
        <item h="1" x="10"/>
        <item x="7"/>
        <item h="1" x="4"/>
        <item h="1" x="9"/>
        <item h="1" x="13"/>
        <item h="1" x="19"/>
        <item h="1" x="14"/>
        <item h="1" x="5"/>
        <item h="1" x="15"/>
        <item h="1" x="3"/>
        <item h="1" x="12"/>
        <item h="1" x="0"/>
        <item t="default"/>
      </items>
    </pivotField>
    <pivotField showAll="0"/>
    <pivotField showAll="0"/>
    <pivotField dataField="1" numFmtId="10"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multipleItemSelectionAllowed="1" showAll="0">
      <items count="3">
        <item h="1" x="0"/>
        <item x="1"/>
        <item t="default"/>
      </items>
    </pivotField>
  </pivotFields>
  <rowFields count="1">
    <field x="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ageFields count="2">
    <pageField fld="2" hier="-1"/>
    <pageField fld="7" hier="-1"/>
  </pageFields>
  <dataFields count="1">
    <dataField name="Suma de Indicador" fld="5" baseField="0" baseItem="0"/>
  </dataFields>
  <formats count="21">
    <format dxfId="53">
      <pivotArea type="all" dataOnly="0" outline="0" fieldPosition="0"/>
    </format>
    <format dxfId="52">
      <pivotArea outline="0" collapsedLevelsAreSubtotals="1" fieldPosition="0"/>
    </format>
    <format dxfId="51">
      <pivotArea dataOnly="0" labelOnly="1" outline="0" axis="axisValues" fieldPosition="0"/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dataOnly="0" labelOnly="1" outline="0" axis="axisValues" fieldPosition="0"/>
    </format>
    <format dxfId="47">
      <pivotArea outline="0" collapsedLevelsAreSubtotals="1" fieldPosition="0"/>
    </format>
    <format dxfId="46">
      <pivotArea dataOnly="0" labelOnly="1" outline="0" fieldPosition="0">
        <references count="1">
          <reference field="2" count="0"/>
        </references>
      </pivotArea>
    </format>
    <format dxfId="45">
      <pivotArea dataOnly="0" labelOnly="1" outline="0" axis="axisValues" fieldPosition="0"/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field="6" type="button" dataOnly="0" labelOnly="1" outline="0" axis="axisRow" fieldPosition="0"/>
    </format>
    <format dxfId="41">
      <pivotArea dataOnly="0" labelOnly="1" fieldPosition="0">
        <references count="1">
          <reference field="6" count="0"/>
        </references>
      </pivotArea>
    </format>
    <format dxfId="40">
      <pivotArea dataOnly="0" labelOnly="1" grandRow="1" outline="0" fieldPosition="0"/>
    </format>
    <format dxfId="39">
      <pivotArea dataOnly="0" labelOnly="1" outline="0" axis="axisValues" fieldPosition="0"/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field="6" type="button" dataOnly="0" labelOnly="1" outline="0" axis="axisRow" fieldPosition="0"/>
    </format>
    <format dxfId="35">
      <pivotArea dataOnly="0" labelOnly="1" fieldPosition="0">
        <references count="1">
          <reference field="6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34">
      <pivotArea dataOnly="0" labelOnly="1" grandRow="1" outline="0" fieldPosition="0"/>
    </format>
    <format dxfId="33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F51D06-0755-42E7-A691-002F54B254B8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2">
  <location ref="A4:B14" firstHeaderRow="1" firstDataRow="1" firstDataCol="1" rowPageCount="2" colPageCount="1"/>
  <pivotFields count="8">
    <pivotField showAll="0"/>
    <pivotField showAll="0"/>
    <pivotField axis="axisPage" multipleItemSelectionAllowed="1" showAll="0">
      <items count="23">
        <item h="1" x="2"/>
        <item x="11"/>
        <item h="1" x="16"/>
        <item h="1" x="6"/>
        <item h="1" x="18"/>
        <item h="1" x="21"/>
        <item h="1" x="1"/>
        <item h="1" x="17"/>
        <item h="1" x="8"/>
        <item h="1" x="20"/>
        <item h="1" x="10"/>
        <item h="1" x="7"/>
        <item h="1" x="4"/>
        <item h="1" x="9"/>
        <item h="1" x="13"/>
        <item h="1" x="19"/>
        <item h="1" x="14"/>
        <item h="1" x="5"/>
        <item h="1" x="15"/>
        <item h="1" x="3"/>
        <item h="1" x="12"/>
        <item h="1" x="0"/>
        <item t="default"/>
      </items>
    </pivotField>
    <pivotField showAll="0"/>
    <pivotField dataField="1" showAll="0"/>
    <pivotField numFmtId="10"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multipleItemSelectionAllowed="1" showAll="0">
      <items count="3">
        <item h="1" x="0"/>
        <item x="1"/>
        <item t="default"/>
      </items>
    </pivotField>
  </pivotFields>
  <rowFields count="1">
    <field x="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ageFields count="2">
    <pageField fld="2" hier="-1"/>
    <pageField fld="7" hier="-1"/>
  </pageFields>
  <dataFields count="1">
    <dataField name="Suma de Total FUAs Digitados" fld="4" baseField="0" baseItem="0"/>
  </dataFields>
  <formats count="21">
    <format dxfId="32">
      <pivotArea type="all" dataOnly="0" outline="0" fieldPosition="0"/>
    </format>
    <format dxfId="31">
      <pivotArea outline="0" collapsedLevelsAreSubtotals="1" fieldPosition="0"/>
    </format>
    <format dxfId="30">
      <pivotArea dataOnly="0" labelOnly="1" outline="0" axis="axisValues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dataOnly="0" labelOnly="1" outline="0" axis="axisValues" fieldPosition="0"/>
    </format>
    <format dxfId="26">
      <pivotArea outline="0" collapsedLevelsAreSubtotals="1" fieldPosition="0"/>
    </format>
    <format dxfId="25">
      <pivotArea dataOnly="0" labelOnly="1" outline="0" fieldPosition="0">
        <references count="1">
          <reference field="2" count="0"/>
        </references>
      </pivotArea>
    </format>
    <format dxfId="24">
      <pivotArea dataOnly="0" labelOnly="1" outline="0" axis="axisValues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6" type="button" dataOnly="0" labelOnly="1" outline="0" axis="axisRow" fieldPosition="0"/>
    </format>
    <format dxfId="20">
      <pivotArea dataOnly="0" labelOnly="1" fieldPosition="0">
        <references count="1">
          <reference field="6" count="0"/>
        </references>
      </pivotArea>
    </format>
    <format dxfId="19">
      <pivotArea dataOnly="0" labelOnly="1" grandRow="1" outline="0" fieldPosition="0"/>
    </format>
    <format dxfId="18">
      <pivotArea dataOnly="0" labelOnly="1" outline="0" axis="axisValues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6" type="button" dataOnly="0" labelOnly="1" outline="0" axis="axisRow" fieldPosition="0"/>
    </format>
    <format dxfId="14">
      <pivotArea dataOnly="0" labelOnly="1" fieldPosition="0">
        <references count="1">
          <reference field="6" count="0"/>
        </references>
      </pivotArea>
    </format>
    <format dxfId="13">
      <pivotArea dataOnly="0" labelOnly="1" grandRow="1" outline="0" fieldPosition="0"/>
    </format>
    <format dxfId="12">
      <pivotArea dataOnly="0" labelOnly="1" outline="0" axis="axisValues" fieldPosition="0"/>
    </format>
  </formats>
  <chartFormats count="1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T35"/>
  <sheetViews>
    <sheetView zoomScale="60" zoomScaleNormal="60" workbookViewId="0">
      <selection activeCell="F4" sqref="F4"/>
    </sheetView>
  </sheetViews>
  <sheetFormatPr baseColWidth="10" defaultColWidth="10.88671875" defaultRowHeight="15" x14ac:dyDescent="0.25"/>
  <cols>
    <col min="1" max="1" width="6.88671875" style="19" customWidth="1"/>
    <col min="2" max="2" width="12.6640625" style="20" bestFit="1" customWidth="1"/>
    <col min="3" max="3" width="44.5546875" style="20" customWidth="1"/>
    <col min="4" max="4" width="19.6640625" style="20" customWidth="1"/>
    <col min="5" max="5" width="12.88671875" style="20" bestFit="1" customWidth="1"/>
    <col min="6" max="6" width="12.5546875" style="43" customWidth="1"/>
    <col min="7" max="7" width="4.88671875" style="19" customWidth="1"/>
    <col min="8" max="8" width="14.5546875" style="19" bestFit="1" customWidth="1"/>
    <col min="9" max="9" width="9.88671875" style="19" customWidth="1"/>
    <col min="10" max="12" width="10.88671875" style="19"/>
    <col min="13" max="13" width="19.6640625" style="19" bestFit="1" customWidth="1"/>
    <col min="14" max="16384" width="10.88671875" style="19"/>
  </cols>
  <sheetData>
    <row r="1" spans="1:20" ht="46.5" customHeight="1" x14ac:dyDescent="0.25">
      <c r="A1" s="80" t="str">
        <f>"Oportunidad de Digitación SIS "&amp;
"del 01 de Enero 2025 al 31 de "&amp; N1&amp;" "&amp; O1
&amp;" 
Acumulado Anual"</f>
        <v>Oportunidad de Digitación SIS del 01 de Enero 2025 al 31 de Marzo 2025 
Acumulado Anual</v>
      </c>
      <c r="B1" s="80"/>
      <c r="C1" s="80"/>
      <c r="D1" s="80"/>
      <c r="E1" s="80"/>
      <c r="F1" s="80"/>
      <c r="G1" s="15"/>
      <c r="H1" s="15"/>
      <c r="I1" s="16"/>
      <c r="J1" s="17"/>
      <c r="K1" s="17"/>
      <c r="L1" s="17"/>
      <c r="M1" s="53">
        <v>3</v>
      </c>
      <c r="N1" s="53" t="str">
        <f>VLOOKUP(M1,Tablas!D2:E13,2,0)</f>
        <v>Marzo</v>
      </c>
      <c r="O1" s="53">
        <v>2025</v>
      </c>
    </row>
    <row r="2" spans="1:20" x14ac:dyDescent="0.25">
      <c r="A2" s="17"/>
      <c r="C2" s="21"/>
      <c r="D2" s="21"/>
      <c r="E2" s="21"/>
      <c r="F2" s="22"/>
      <c r="G2" s="17"/>
      <c r="H2" s="17"/>
      <c r="I2" s="23"/>
      <c r="J2" s="17"/>
      <c r="K2" s="17"/>
      <c r="L2" s="17"/>
    </row>
    <row r="3" spans="1:20" ht="45" x14ac:dyDescent="0.25">
      <c r="A3" s="24" t="s">
        <v>0</v>
      </c>
      <c r="B3" s="24" t="s">
        <v>1</v>
      </c>
      <c r="C3" s="24" t="s">
        <v>2</v>
      </c>
      <c r="D3" s="24" t="s">
        <v>3</v>
      </c>
      <c r="E3" s="24" t="s">
        <v>4</v>
      </c>
      <c r="F3" s="24" t="s">
        <v>5</v>
      </c>
      <c r="G3" s="17"/>
      <c r="H3" s="17"/>
      <c r="I3" s="23"/>
      <c r="J3" s="17"/>
      <c r="K3" s="17"/>
      <c r="L3" s="17"/>
      <c r="S3" s="78"/>
      <c r="T3" s="79"/>
    </row>
    <row r="4" spans="1:20" x14ac:dyDescent="0.25">
      <c r="A4" s="25">
        <v>1</v>
      </c>
      <c r="B4" s="25">
        <v>11799</v>
      </c>
      <c r="C4" s="54" t="s">
        <v>21</v>
      </c>
      <c r="D4" s="25">
        <f>VLOOKUP($M4,Data_Anual!$A:$E,5,0)</f>
        <v>4851</v>
      </c>
      <c r="E4" s="25">
        <f>VLOOKUP($M4,Data_Anual!$A:$G,6,0)</f>
        <v>5022</v>
      </c>
      <c r="F4" s="27">
        <f>VLOOKUP($M4,Data_Anual!$A:$G,7,0)</f>
        <v>0.96594982078853042</v>
      </c>
      <c r="G4" s="17"/>
      <c r="H4" s="17"/>
      <c r="I4" s="23"/>
      <c r="J4" s="42"/>
      <c r="K4" s="17"/>
      <c r="L4" s="17"/>
      <c r="M4" s="19" t="str">
        <f>B4&amp;$N$1&amp;$O$1</f>
        <v>11799Marzo2025</v>
      </c>
      <c r="S4" s="78"/>
      <c r="T4" s="79"/>
    </row>
    <row r="5" spans="1:20" x14ac:dyDescent="0.25">
      <c r="A5" s="25">
        <v>2</v>
      </c>
      <c r="B5" s="25">
        <v>11882</v>
      </c>
      <c r="C5" s="54" t="s">
        <v>22</v>
      </c>
      <c r="D5" s="25">
        <f>VLOOKUP($M5,Data_Anual!$A:$E,5,0)</f>
        <v>2319</v>
      </c>
      <c r="E5" s="25">
        <f>VLOOKUP($M5,Data_Anual!$A:$G,6,0)</f>
        <v>2417</v>
      </c>
      <c r="F5" s="27">
        <f>VLOOKUP($M5,Data_Anual!$A:$G,7,0)</f>
        <v>0.95945386843194047</v>
      </c>
      <c r="G5" s="17"/>
      <c r="H5" s="17"/>
      <c r="I5" s="28" t="s">
        <v>8</v>
      </c>
      <c r="J5" s="42"/>
      <c r="K5" s="17"/>
      <c r="L5" s="17"/>
      <c r="M5" s="19" t="str">
        <f t="shared" ref="M5:M26" si="0">B5&amp;$N$1&amp;$O$1</f>
        <v>11882Marzo2025</v>
      </c>
      <c r="S5" s="78"/>
      <c r="T5" s="79"/>
    </row>
    <row r="6" spans="1:20" x14ac:dyDescent="0.25">
      <c r="A6" s="25">
        <v>3</v>
      </c>
      <c r="B6" s="25">
        <v>11117</v>
      </c>
      <c r="C6" s="54" t="s">
        <v>15</v>
      </c>
      <c r="D6" s="25">
        <f>VLOOKUP($M6,Data_Anual!$A:$E,5,0)</f>
        <v>18120</v>
      </c>
      <c r="E6" s="25">
        <f>VLOOKUP($M6,Data_Anual!$A:$G,6,0)</f>
        <v>18900</v>
      </c>
      <c r="F6" s="27">
        <f>VLOOKUP($M6,Data_Anual!$A:$G,7,0)</f>
        <v>0.95873015873015877</v>
      </c>
      <c r="G6" s="17"/>
      <c r="H6" s="29" t="s">
        <v>10</v>
      </c>
      <c r="I6" s="30" t="s">
        <v>11</v>
      </c>
      <c r="J6" s="42"/>
      <c r="K6" s="17"/>
      <c r="L6" s="17"/>
      <c r="M6" s="19" t="str">
        <f t="shared" si="0"/>
        <v>11117Marzo2025</v>
      </c>
      <c r="S6" s="78"/>
      <c r="T6" s="79"/>
    </row>
    <row r="7" spans="1:20" x14ac:dyDescent="0.25">
      <c r="A7" s="25">
        <v>4</v>
      </c>
      <c r="B7" s="25" t="s">
        <v>70</v>
      </c>
      <c r="C7" s="26" t="s">
        <v>66</v>
      </c>
      <c r="D7" s="25">
        <f>VLOOKUP($M7,Data_Anual!$A:$E,5,0)</f>
        <v>1899</v>
      </c>
      <c r="E7" s="25">
        <f>VLOOKUP($M7,Data_Anual!$A:$G,6,0)</f>
        <v>1985</v>
      </c>
      <c r="F7" s="27">
        <f>VLOOKUP($M7,Data_Anual!$A:$G,7,0)</f>
        <v>0.95667506297229221</v>
      </c>
      <c r="G7" s="17"/>
      <c r="H7" s="29" t="s">
        <v>13</v>
      </c>
      <c r="I7" s="31" t="s">
        <v>14</v>
      </c>
      <c r="J7" s="42"/>
      <c r="K7" s="17"/>
      <c r="L7" s="17"/>
      <c r="M7" s="19" t="str">
        <f t="shared" si="0"/>
        <v>12165Marzo2025</v>
      </c>
      <c r="S7" s="78"/>
      <c r="T7" s="79"/>
    </row>
    <row r="8" spans="1:20" x14ac:dyDescent="0.25">
      <c r="A8" s="25">
        <v>5</v>
      </c>
      <c r="B8" s="25">
        <v>10904</v>
      </c>
      <c r="C8" s="54" t="s">
        <v>29</v>
      </c>
      <c r="D8" s="25">
        <f>VLOOKUP($M8,Data_Anual!$A:$E,5,0)</f>
        <v>3932</v>
      </c>
      <c r="E8" s="25">
        <f>VLOOKUP($M8,Data_Anual!$A:$G,6,0)</f>
        <v>4186</v>
      </c>
      <c r="F8" s="27">
        <f>VLOOKUP($M8,Data_Anual!$A:$G,7,0)</f>
        <v>0.93932154801720014</v>
      </c>
      <c r="G8" s="17"/>
      <c r="H8" s="29" t="s">
        <v>16</v>
      </c>
      <c r="I8" s="32" t="s">
        <v>17</v>
      </c>
      <c r="J8" s="42"/>
      <c r="K8" s="17"/>
      <c r="L8" s="17"/>
      <c r="M8" s="19" t="str">
        <f t="shared" si="0"/>
        <v>10904Marzo2025</v>
      </c>
      <c r="S8" s="78"/>
      <c r="T8" s="79"/>
    </row>
    <row r="9" spans="1:20" x14ac:dyDescent="0.25">
      <c r="A9" s="25">
        <v>6</v>
      </c>
      <c r="B9" s="25">
        <v>240</v>
      </c>
      <c r="C9" s="54" t="s">
        <v>23</v>
      </c>
      <c r="D9" s="25">
        <f>VLOOKUP($M9,Data_Anual!$A:$E,5,0)</f>
        <v>7857</v>
      </c>
      <c r="E9" s="25">
        <f>VLOOKUP($M9,Data_Anual!$A:$G,6,0)</f>
        <v>8436</v>
      </c>
      <c r="F9" s="27">
        <f>VLOOKUP($M9,Data_Anual!$A:$G,7,0)</f>
        <v>0.93136557610241821</v>
      </c>
      <c r="G9" s="17"/>
      <c r="H9" s="29" t="s">
        <v>19</v>
      </c>
      <c r="I9" s="33" t="s">
        <v>20</v>
      </c>
      <c r="J9" s="42"/>
      <c r="K9" s="17"/>
      <c r="L9" s="17"/>
      <c r="M9" s="19" t="str">
        <f t="shared" si="0"/>
        <v>240Marzo2025</v>
      </c>
      <c r="S9" s="78"/>
      <c r="T9" s="79"/>
    </row>
    <row r="10" spans="1:20" x14ac:dyDescent="0.25">
      <c r="A10" s="25">
        <v>7</v>
      </c>
      <c r="B10" s="25">
        <v>235</v>
      </c>
      <c r="C10" s="54" t="s">
        <v>33</v>
      </c>
      <c r="D10" s="25">
        <f>VLOOKUP($M10,Data_Anual!$A:$E,5,0)</f>
        <v>6672</v>
      </c>
      <c r="E10" s="25">
        <f>VLOOKUP($M10,Data_Anual!$A:$G,6,0)</f>
        <v>7284</v>
      </c>
      <c r="F10" s="27">
        <f>VLOOKUP($M10,Data_Anual!$A:$G,7,0)</f>
        <v>0.91598023064250411</v>
      </c>
      <c r="G10" s="17"/>
      <c r="H10" s="17"/>
      <c r="I10" s="23"/>
      <c r="J10" s="42"/>
      <c r="K10" s="17"/>
      <c r="L10" s="17"/>
      <c r="M10" s="19" t="str">
        <f t="shared" si="0"/>
        <v>235Marzo2025</v>
      </c>
      <c r="S10" s="78"/>
      <c r="T10" s="79"/>
    </row>
    <row r="11" spans="1:20" x14ac:dyDescent="0.25">
      <c r="A11" s="25">
        <v>8</v>
      </c>
      <c r="B11" s="25">
        <v>241</v>
      </c>
      <c r="C11" s="54" t="s">
        <v>30</v>
      </c>
      <c r="D11" s="25">
        <f>VLOOKUP($M11,Data_Anual!$A:$E,5,0)</f>
        <v>3616</v>
      </c>
      <c r="E11" s="25">
        <f>VLOOKUP($M11,Data_Anual!$A:$G,6,0)</f>
        <v>3961</v>
      </c>
      <c r="F11" s="27">
        <f>VLOOKUP($M11,Data_Anual!$A:$G,7,0)</f>
        <v>0.91290078263064878</v>
      </c>
      <c r="G11" s="17"/>
      <c r="H11" s="17"/>
      <c r="I11" s="23"/>
      <c r="J11" s="42"/>
      <c r="K11" s="17"/>
      <c r="L11" s="17"/>
      <c r="M11" s="19" t="str">
        <f t="shared" si="0"/>
        <v>241Marzo2025</v>
      </c>
      <c r="S11" s="78"/>
      <c r="T11" s="79"/>
    </row>
    <row r="12" spans="1:20" x14ac:dyDescent="0.25">
      <c r="A12" s="25">
        <v>9</v>
      </c>
      <c r="B12" s="25">
        <v>11931</v>
      </c>
      <c r="C12" s="54" t="s">
        <v>26</v>
      </c>
      <c r="D12" s="25">
        <f>VLOOKUP($M12,Data_Anual!$A:$E,5,0)</f>
        <v>5429</v>
      </c>
      <c r="E12" s="25">
        <f>VLOOKUP($M12,Data_Anual!$A:$G,6,0)</f>
        <v>6064</v>
      </c>
      <c r="F12" s="27">
        <f>VLOOKUP($M12,Data_Anual!$A:$G,7,0)</f>
        <v>0.89528364116094983</v>
      </c>
      <c r="G12" s="17"/>
      <c r="H12" s="17"/>
      <c r="I12" s="23"/>
      <c r="J12" s="42"/>
      <c r="K12" s="17"/>
      <c r="L12" s="17"/>
      <c r="M12" s="19" t="str">
        <f t="shared" si="0"/>
        <v>11931Marzo2025</v>
      </c>
      <c r="S12" s="78"/>
      <c r="T12" s="79"/>
    </row>
    <row r="13" spans="1:20" x14ac:dyDescent="0.25">
      <c r="A13" s="25">
        <v>10</v>
      </c>
      <c r="B13" s="25">
        <v>11116</v>
      </c>
      <c r="C13" s="54" t="s">
        <v>28</v>
      </c>
      <c r="D13" s="25">
        <f>VLOOKUP($M13,Data_Anual!$A:$E,5,0)</f>
        <v>20999</v>
      </c>
      <c r="E13" s="25">
        <f>VLOOKUP($M13,Data_Anual!$A:$G,6,0)</f>
        <v>23641</v>
      </c>
      <c r="F13" s="27">
        <f>VLOOKUP($M13,Data_Anual!$A:$G,7,0)</f>
        <v>0.88824499809652724</v>
      </c>
      <c r="G13" s="17"/>
      <c r="H13" s="17"/>
      <c r="I13" s="23"/>
      <c r="J13" s="42"/>
      <c r="K13" s="17"/>
      <c r="L13" s="17"/>
      <c r="M13" s="19" t="str">
        <f t="shared" si="0"/>
        <v>11116Marzo2025</v>
      </c>
      <c r="S13" s="78"/>
      <c r="T13" s="79"/>
    </row>
    <row r="14" spans="1:20" x14ac:dyDescent="0.25">
      <c r="A14" s="25">
        <v>11</v>
      </c>
      <c r="B14" s="25">
        <v>10951</v>
      </c>
      <c r="C14" s="54" t="s">
        <v>24</v>
      </c>
      <c r="D14" s="25">
        <f>VLOOKUP($M14,Data_Anual!$A:$E,5,0)</f>
        <v>3864</v>
      </c>
      <c r="E14" s="25">
        <f>VLOOKUP($M14,Data_Anual!$A:$G,6,0)</f>
        <v>4382</v>
      </c>
      <c r="F14" s="27">
        <f>VLOOKUP($M14,Data_Anual!$A:$G,7,0)</f>
        <v>0.88178913738019171</v>
      </c>
      <c r="G14" s="17"/>
      <c r="H14" s="17"/>
      <c r="I14" s="23"/>
      <c r="J14" s="42"/>
      <c r="K14" s="17"/>
      <c r="L14" s="17"/>
      <c r="M14" s="19" t="str">
        <f t="shared" si="0"/>
        <v>10951Marzo2025</v>
      </c>
      <c r="S14" s="78"/>
      <c r="T14" s="79"/>
    </row>
    <row r="15" spans="1:20" x14ac:dyDescent="0.25">
      <c r="A15" s="25">
        <v>12</v>
      </c>
      <c r="B15" s="25">
        <v>239</v>
      </c>
      <c r="C15" s="54" t="s">
        <v>32</v>
      </c>
      <c r="D15" s="25">
        <f>VLOOKUP($M15,Data_Anual!$A:$E,5,0)</f>
        <v>9005</v>
      </c>
      <c r="E15" s="25">
        <f>VLOOKUP($M15,Data_Anual!$A:$G,6,0)</f>
        <v>10305</v>
      </c>
      <c r="F15" s="27">
        <f>VLOOKUP($M15,Data_Anual!$A:$G,7,0)</f>
        <v>0.87384764677341098</v>
      </c>
      <c r="G15" s="17"/>
      <c r="H15" s="17"/>
      <c r="I15" s="23"/>
      <c r="J15" s="42"/>
      <c r="K15" s="17"/>
      <c r="L15" s="17"/>
      <c r="M15" s="19" t="str">
        <f t="shared" si="0"/>
        <v>239Marzo2025</v>
      </c>
      <c r="S15" s="78"/>
      <c r="T15" s="79"/>
    </row>
    <row r="16" spans="1:20" x14ac:dyDescent="0.25">
      <c r="A16" s="25">
        <v>13</v>
      </c>
      <c r="B16" s="25">
        <v>236</v>
      </c>
      <c r="C16" s="54" t="s">
        <v>25</v>
      </c>
      <c r="D16" s="25">
        <f>VLOOKUP($M16,Data_Anual!$A:$E,5,0)</f>
        <v>9262</v>
      </c>
      <c r="E16" s="25">
        <f>VLOOKUP($M16,Data_Anual!$A:$G,6,0)</f>
        <v>10937</v>
      </c>
      <c r="F16" s="27">
        <f>VLOOKUP($M16,Data_Anual!$A:$G,7,0)</f>
        <v>0.84685014172076434</v>
      </c>
      <c r="G16" s="17"/>
      <c r="H16" s="17"/>
      <c r="I16" s="23"/>
      <c r="J16" s="42"/>
      <c r="K16" s="17"/>
      <c r="L16" s="17"/>
      <c r="M16" s="19" t="str">
        <f t="shared" si="0"/>
        <v>236Marzo2025</v>
      </c>
      <c r="S16" s="78"/>
      <c r="T16" s="79"/>
    </row>
    <row r="17" spans="1:20" x14ac:dyDescent="0.25">
      <c r="A17" s="25">
        <v>14</v>
      </c>
      <c r="B17" s="25">
        <v>238</v>
      </c>
      <c r="C17" s="54" t="s">
        <v>35</v>
      </c>
      <c r="D17" s="25">
        <f>VLOOKUP($M17,Data_Anual!$A:$E,5,0)</f>
        <v>4742</v>
      </c>
      <c r="E17" s="25">
        <f>VLOOKUP($M17,Data_Anual!$A:$G,6,0)</f>
        <v>5625</v>
      </c>
      <c r="F17" s="27">
        <f>VLOOKUP($M17,Data_Anual!$A:$G,7,0)</f>
        <v>0.84302222222222223</v>
      </c>
      <c r="G17" s="17"/>
      <c r="H17" s="17"/>
      <c r="I17" s="23"/>
      <c r="J17" s="42"/>
      <c r="K17" s="17"/>
      <c r="L17" s="17"/>
      <c r="M17" s="19" t="str">
        <f t="shared" si="0"/>
        <v>238Marzo2025</v>
      </c>
      <c r="S17" s="78"/>
      <c r="T17" s="79"/>
    </row>
    <row r="18" spans="1:20" x14ac:dyDescent="0.25">
      <c r="A18" s="25">
        <v>15</v>
      </c>
      <c r="B18" s="25">
        <v>242</v>
      </c>
      <c r="C18" s="54" t="s">
        <v>7</v>
      </c>
      <c r="D18" s="25">
        <f>VLOOKUP($M18,Data_Anual!$A:$E,5,0)</f>
        <v>4388</v>
      </c>
      <c r="E18" s="25">
        <f>VLOOKUP($M18,Data_Anual!$A:$G,6,0)</f>
        <v>5207</v>
      </c>
      <c r="F18" s="27">
        <f>VLOOKUP($M18,Data_Anual!$A:$G,7,0)</f>
        <v>0.84271173420395618</v>
      </c>
      <c r="G18" s="17"/>
      <c r="H18" s="17"/>
      <c r="I18" s="23"/>
      <c r="J18" s="42"/>
      <c r="K18" s="17"/>
      <c r="L18" s="17"/>
      <c r="M18" s="19" t="str">
        <f t="shared" si="0"/>
        <v>242Marzo2025</v>
      </c>
      <c r="S18" s="78"/>
      <c r="T18" s="79"/>
    </row>
    <row r="19" spans="1:20" x14ac:dyDescent="0.25">
      <c r="A19" s="25">
        <v>16</v>
      </c>
      <c r="B19" s="25" t="s">
        <v>68</v>
      </c>
      <c r="C19" s="77" t="s">
        <v>67</v>
      </c>
      <c r="D19" s="25">
        <f>VLOOKUP($M19,Data_Anual!$A:$E,5,0)</f>
        <v>2890</v>
      </c>
      <c r="E19" s="25">
        <f>VLOOKUP($M19,Data_Anual!$A:$G,6,0)</f>
        <v>3682</v>
      </c>
      <c r="F19" s="55">
        <f>VLOOKUP($M19,Data_Anual!$A:$G,7,0)</f>
        <v>0.78489951113525258</v>
      </c>
      <c r="G19" s="17"/>
      <c r="H19" s="17"/>
      <c r="I19" s="23"/>
      <c r="J19" s="42"/>
      <c r="K19" s="17"/>
      <c r="L19" s="17"/>
      <c r="M19" s="19" t="str">
        <f t="shared" si="0"/>
        <v>12163Marzo2025</v>
      </c>
      <c r="S19" s="78"/>
      <c r="T19" s="79"/>
    </row>
    <row r="20" spans="1:20" x14ac:dyDescent="0.25">
      <c r="A20" s="25">
        <v>17</v>
      </c>
      <c r="B20" s="25" t="s">
        <v>69</v>
      </c>
      <c r="C20" s="26" t="s">
        <v>65</v>
      </c>
      <c r="D20" s="25">
        <f>VLOOKUP($M20,Data_Anual!$A:$E,5,0)</f>
        <v>3409</v>
      </c>
      <c r="E20" s="25">
        <f>VLOOKUP($M20,Data_Anual!$A:$G,6,0)</f>
        <v>4382</v>
      </c>
      <c r="F20" s="27">
        <f>VLOOKUP($M20,Data_Anual!$A:$G,7,0)</f>
        <v>0.77795527156549515</v>
      </c>
      <c r="G20" s="17"/>
      <c r="H20" s="17"/>
      <c r="I20" s="23"/>
      <c r="J20" s="42"/>
      <c r="K20" s="17"/>
      <c r="L20" s="17"/>
      <c r="M20" s="19" t="str">
        <f t="shared" si="0"/>
        <v>12166Marzo2025</v>
      </c>
      <c r="S20" s="78"/>
      <c r="T20" s="79"/>
    </row>
    <row r="21" spans="1:20" x14ac:dyDescent="0.25">
      <c r="A21" s="25">
        <v>18</v>
      </c>
      <c r="B21" s="25">
        <v>246</v>
      </c>
      <c r="C21" s="54" t="s">
        <v>9</v>
      </c>
      <c r="D21" s="25">
        <f>VLOOKUP($M21,Data_Anual!$A:$E,5,0)</f>
        <v>4638</v>
      </c>
      <c r="E21" s="25">
        <f>VLOOKUP($M21,Data_Anual!$A:$G,6,0)</f>
        <v>6287</v>
      </c>
      <c r="F21" s="27">
        <f>VLOOKUP($M21,Data_Anual!$A:$G,7,0)</f>
        <v>0.73771274057579128</v>
      </c>
      <c r="G21" s="17"/>
      <c r="H21" s="17"/>
      <c r="I21" s="23"/>
      <c r="J21" s="42"/>
      <c r="K21" s="17"/>
      <c r="L21" s="35"/>
      <c r="M21" s="19" t="str">
        <f t="shared" si="0"/>
        <v>246Marzo2025</v>
      </c>
      <c r="S21" s="78"/>
      <c r="T21" s="79"/>
    </row>
    <row r="22" spans="1:20" x14ac:dyDescent="0.25">
      <c r="A22" s="25">
        <v>19</v>
      </c>
      <c r="B22" s="25">
        <v>243</v>
      </c>
      <c r="C22" s="54" t="s">
        <v>34</v>
      </c>
      <c r="D22" s="25">
        <f>VLOOKUP($M22,Data_Anual!$A:$E,5,0)</f>
        <v>6359</v>
      </c>
      <c r="E22" s="25">
        <f>VLOOKUP($M22,Data_Anual!$A:$G,6,0)</f>
        <v>9428</v>
      </c>
      <c r="F22" s="27">
        <f>VLOOKUP($M22,Data_Anual!$A:$G,7,0)</f>
        <v>0.67448027153160794</v>
      </c>
      <c r="G22" s="17"/>
      <c r="H22" s="17"/>
      <c r="I22" s="23"/>
      <c r="J22" s="42"/>
      <c r="K22" s="17"/>
      <c r="L22" s="17"/>
      <c r="M22" s="19" t="str">
        <f t="shared" si="0"/>
        <v>243Marzo2025</v>
      </c>
      <c r="S22" s="78"/>
      <c r="T22" s="79"/>
    </row>
    <row r="23" spans="1:20" x14ac:dyDescent="0.25">
      <c r="A23" s="25">
        <v>20</v>
      </c>
      <c r="B23" s="25">
        <v>234</v>
      </c>
      <c r="C23" s="20" t="s">
        <v>18</v>
      </c>
      <c r="D23" s="25">
        <f>VLOOKUP($M23,Data_Anual!$A:$E,5,0)</f>
        <v>7425</v>
      </c>
      <c r="E23" s="25">
        <f>VLOOKUP($M23,Data_Anual!$A:$G,6,0)</f>
        <v>11268</v>
      </c>
      <c r="F23" s="27">
        <f>VLOOKUP($M23,Data_Anual!$A:$G,7,0)</f>
        <v>0.65894568690095845</v>
      </c>
      <c r="G23" s="17"/>
      <c r="H23" s="17"/>
      <c r="I23" s="23"/>
      <c r="J23" s="42"/>
      <c r="K23" s="17"/>
      <c r="L23" s="17"/>
      <c r="M23" s="19" t="str">
        <f t="shared" si="0"/>
        <v>234Marzo2025</v>
      </c>
      <c r="S23" s="78"/>
      <c r="T23" s="79"/>
    </row>
    <row r="24" spans="1:20" x14ac:dyDescent="0.25">
      <c r="A24" s="25">
        <v>21</v>
      </c>
      <c r="B24" s="25">
        <v>1557</v>
      </c>
      <c r="C24" s="54" t="s">
        <v>12</v>
      </c>
      <c r="D24" s="25">
        <f>VLOOKUP($M24,Data_Anual!$A:$E,5,0)</f>
        <v>2710</v>
      </c>
      <c r="E24" s="25">
        <f>VLOOKUP($M24,Data_Anual!$A:$G,6,0)</f>
        <v>4197</v>
      </c>
      <c r="F24" s="57">
        <f>VLOOKUP($M24,Data_Anual!$A:$G,7,0)</f>
        <v>0.64569930903025974</v>
      </c>
      <c r="G24" s="17"/>
      <c r="H24" s="17"/>
      <c r="I24" s="23"/>
      <c r="J24" s="42"/>
      <c r="K24" s="17"/>
      <c r="L24" s="17"/>
      <c r="M24" s="19" t="str">
        <f t="shared" si="0"/>
        <v>1557Marzo2025</v>
      </c>
      <c r="S24" s="78"/>
      <c r="T24" s="79"/>
    </row>
    <row r="25" spans="1:20" x14ac:dyDescent="0.25">
      <c r="A25" s="25">
        <v>22</v>
      </c>
      <c r="B25" s="25">
        <v>28745</v>
      </c>
      <c r="C25" s="54" t="s">
        <v>6</v>
      </c>
      <c r="D25" s="25">
        <f>VLOOKUP($M25,Data_Anual!$A:$E,5,0)</f>
        <v>1204</v>
      </c>
      <c r="E25" s="25">
        <f>VLOOKUP($M25,Data_Anual!$A:$G,6,0)</f>
        <v>1988</v>
      </c>
      <c r="F25" s="57">
        <f>VLOOKUP($M25,Data_Anual!$A:$G,7,0)</f>
        <v>0.60563380281690138</v>
      </c>
      <c r="G25" s="17"/>
      <c r="H25" s="17"/>
      <c r="I25" s="23"/>
      <c r="J25" s="42"/>
      <c r="K25" s="17"/>
      <c r="L25" s="17"/>
      <c r="M25" s="19" t="str">
        <f t="shared" si="0"/>
        <v>28745Marzo2025</v>
      </c>
      <c r="S25" s="78"/>
      <c r="T25" s="79"/>
    </row>
    <row r="26" spans="1:20" x14ac:dyDescent="0.25">
      <c r="A26" s="25">
        <v>23</v>
      </c>
      <c r="B26" s="25">
        <v>237</v>
      </c>
      <c r="C26" s="54" t="s">
        <v>31</v>
      </c>
      <c r="D26" s="25">
        <f>VLOOKUP($M26,Data_Anual!$A:$E,5,0)</f>
        <v>9626</v>
      </c>
      <c r="E26" s="25">
        <f>VLOOKUP($M26,Data_Anual!$A:$G,6,0)</f>
        <v>16019</v>
      </c>
      <c r="F26" s="57">
        <f>VLOOKUP($M26,Data_Anual!$A:$G,7,0)</f>
        <v>0.60091141769149137</v>
      </c>
      <c r="G26" s="17"/>
      <c r="H26" s="17"/>
      <c r="I26" s="23"/>
      <c r="J26" s="42"/>
      <c r="K26" s="17"/>
      <c r="L26" s="17"/>
      <c r="M26" s="19" t="str">
        <f t="shared" si="0"/>
        <v>237Marzo2025</v>
      </c>
    </row>
    <row r="27" spans="1:20" hidden="1" x14ac:dyDescent="0.25">
      <c r="A27" s="66">
        <v>24</v>
      </c>
      <c r="B27" s="66"/>
      <c r="C27" s="70"/>
      <c r="D27" s="66"/>
      <c r="E27" s="66"/>
      <c r="F27" s="67"/>
      <c r="G27" s="17"/>
      <c r="H27" s="17"/>
      <c r="I27" s="23"/>
      <c r="J27" s="42"/>
      <c r="K27" s="17"/>
      <c r="L27" s="17"/>
    </row>
    <row r="28" spans="1:20" s="41" customFormat="1" x14ac:dyDescent="0.25">
      <c r="A28" s="81" t="s">
        <v>36</v>
      </c>
      <c r="B28" s="81"/>
      <c r="C28" s="81"/>
      <c r="D28" s="36">
        <f>SUM(D4:D23)</f>
        <v>131676</v>
      </c>
      <c r="E28" s="36">
        <f>SUM(E4:E23)</f>
        <v>153399</v>
      </c>
      <c r="F28" s="58">
        <f t="shared" ref="F28" si="1">D28/E28</f>
        <v>0.85838890735923967</v>
      </c>
      <c r="G28" s="38"/>
      <c r="H28" s="38"/>
      <c r="I28" s="39"/>
      <c r="J28" s="40"/>
      <c r="K28" s="40"/>
      <c r="L28" s="40"/>
    </row>
    <row r="29" spans="1:20" x14ac:dyDescent="0.25">
      <c r="A29" s="17"/>
      <c r="B29" s="21"/>
      <c r="C29" s="21"/>
      <c r="D29" s="21"/>
      <c r="E29" s="21"/>
      <c r="F29" s="22"/>
      <c r="G29" s="17"/>
      <c r="H29" s="17"/>
      <c r="I29" s="17"/>
      <c r="J29" s="17"/>
      <c r="K29" s="17"/>
      <c r="L29" s="17"/>
    </row>
    <row r="30" spans="1:20" x14ac:dyDescent="0.25">
      <c r="A30" s="17" t="s">
        <v>71</v>
      </c>
      <c r="B30" s="21"/>
      <c r="C30" s="21"/>
      <c r="D30" s="21"/>
      <c r="E30" s="21"/>
      <c r="F30" s="22"/>
      <c r="G30" s="17"/>
      <c r="H30" s="17"/>
      <c r="I30" s="17"/>
      <c r="J30" s="17"/>
      <c r="K30" s="17"/>
      <c r="L30" s="17"/>
    </row>
    <row r="31" spans="1:20" x14ac:dyDescent="0.25">
      <c r="A31" s="17"/>
      <c r="B31" s="21"/>
      <c r="C31" s="21"/>
      <c r="D31" s="42"/>
      <c r="E31" s="42"/>
      <c r="F31" s="22"/>
      <c r="G31" s="17"/>
      <c r="H31" s="17"/>
      <c r="I31" s="17"/>
      <c r="J31" s="17"/>
      <c r="K31" s="17"/>
      <c r="L31" s="17"/>
    </row>
    <row r="32" spans="1:20" x14ac:dyDescent="0.25">
      <c r="A32" s="17"/>
      <c r="B32" s="21"/>
      <c r="C32" s="21"/>
      <c r="D32" s="21"/>
      <c r="E32" s="21"/>
      <c r="F32" s="22"/>
      <c r="G32" s="17"/>
      <c r="H32" s="17"/>
      <c r="I32" s="17"/>
      <c r="J32" s="17"/>
      <c r="K32" s="17"/>
      <c r="L32" s="17"/>
    </row>
    <row r="33" spans="1:12" x14ac:dyDescent="0.25">
      <c r="A33" s="17"/>
      <c r="B33" s="21"/>
      <c r="C33" s="21"/>
      <c r="D33" s="21"/>
      <c r="E33" s="21"/>
      <c r="F33" s="22"/>
      <c r="G33" s="17"/>
      <c r="H33" s="17"/>
      <c r="I33" s="17"/>
      <c r="J33" s="17"/>
      <c r="K33" s="17"/>
      <c r="L33" s="17"/>
    </row>
    <row r="34" spans="1:12" x14ac:dyDescent="0.25">
      <c r="A34" s="17"/>
      <c r="B34" s="21"/>
      <c r="C34" s="21"/>
      <c r="D34" s="21"/>
      <c r="E34" s="21"/>
      <c r="F34" s="22"/>
      <c r="G34" s="17"/>
      <c r="H34" s="17"/>
      <c r="I34" s="17"/>
      <c r="J34" s="17"/>
      <c r="K34" s="17"/>
      <c r="L34" s="17"/>
    </row>
    <row r="35" spans="1:12" x14ac:dyDescent="0.25">
      <c r="A35" s="17"/>
      <c r="B35" s="21"/>
      <c r="C35" s="21"/>
      <c r="D35" s="21"/>
      <c r="E35" s="21"/>
      <c r="F35" s="22"/>
      <c r="G35" s="17"/>
      <c r="H35" s="17"/>
      <c r="I35" s="17"/>
      <c r="J35" s="17"/>
      <c r="K35" s="17"/>
      <c r="L35" s="17"/>
    </row>
  </sheetData>
  <sortState xmlns:xlrd2="http://schemas.microsoft.com/office/spreadsheetml/2017/richdata2" ref="B4:F26">
    <sortCondition descending="1" ref="F4:F26"/>
  </sortState>
  <mergeCells count="2">
    <mergeCell ref="A1:F1"/>
    <mergeCell ref="A28:C28"/>
  </mergeCells>
  <conditionalFormatting sqref="F4:F27">
    <cfRule type="cellIs" dxfId="11" priority="5" operator="between">
      <formula>0.75</formula>
      <formula>1</formula>
    </cfRule>
    <cfRule type="cellIs" dxfId="10" priority="6" operator="between">
      <formula>0.6</formula>
      <formula>0.7499</formula>
    </cfRule>
    <cfRule type="cellIs" dxfId="9" priority="7" operator="between">
      <formula>0.25</formula>
      <formula>0.599</formula>
    </cfRule>
    <cfRule type="cellIs" dxfId="8" priority="8" operator="between">
      <formula>0</formula>
      <formula>0.24</formula>
    </cfRule>
  </conditionalFormatting>
  <conditionalFormatting sqref="F28">
    <cfRule type="cellIs" dxfId="7" priority="1" operator="between">
      <formula>0.75</formula>
      <formula>1</formula>
    </cfRule>
    <cfRule type="cellIs" dxfId="6" priority="2" operator="between">
      <formula>0.6</formula>
      <formula>0.7499</formula>
    </cfRule>
    <cfRule type="cellIs" dxfId="5" priority="3" operator="between">
      <formula>0.25</formula>
      <formula>0.59</formula>
    </cfRule>
    <cfRule type="cellIs" dxfId="4" priority="4" operator="between">
      <formula>0</formula>
      <formula>0.24</formula>
    </cfRule>
  </conditionalFormatting>
  <pageMargins left="0.75" right="0.75" top="1" bottom="1" header="0.5" footer="0.5"/>
  <pageSetup paperSize="9" scale="80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25" r:id="rId4" name="CommandButton2">
          <controlPr defaultSize="0" autoLine="0" autoPict="0" r:id="rId5">
            <anchor moveWithCells="1" sizeWithCells="1">
              <from>
                <xdr:col>9</xdr:col>
                <xdr:colOff>68580</xdr:colOff>
                <xdr:row>0</xdr:row>
                <xdr:rowOff>68580</xdr:rowOff>
              </from>
              <to>
                <xdr:col>10</xdr:col>
                <xdr:colOff>495300</xdr:colOff>
                <xdr:row>1</xdr:row>
                <xdr:rowOff>144780</xdr:rowOff>
              </to>
            </anchor>
          </controlPr>
        </control>
      </mc:Choice>
      <mc:Fallback>
        <control shapeId="1025" r:id="rId4" name="CommandButton2"/>
      </mc:Fallback>
    </mc:AlternateContent>
    <mc:AlternateContent xmlns:mc="http://schemas.openxmlformats.org/markup-compatibility/2006">
      <mc:Choice Requires="x14">
        <control shapeId="1026" r:id="rId6" name="Drop Down 2">
          <controlPr defaultSize="0" autoLine="0" autoPict="0" macro="[0]!Ordenar_Acumulado">
            <anchor moveWithCells="1">
              <from>
                <xdr:col>13</xdr:col>
                <xdr:colOff>114300</xdr:colOff>
                <xdr:row>2</xdr:row>
                <xdr:rowOff>266700</xdr:rowOff>
              </from>
              <to>
                <xdr:col>15</xdr:col>
                <xdr:colOff>22860</xdr:colOff>
                <xdr:row>3</xdr:row>
                <xdr:rowOff>68580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9CB46-A413-4E3A-B6EF-513785A4FC87}">
  <sheetPr codeName="Hoja5"/>
  <dimension ref="A1:P36"/>
  <sheetViews>
    <sheetView zoomScale="60" zoomScaleNormal="60" workbookViewId="0">
      <selection activeCell="F4" sqref="F4"/>
    </sheetView>
  </sheetViews>
  <sheetFormatPr baseColWidth="10" defaultColWidth="10.88671875" defaultRowHeight="15" x14ac:dyDescent="0.25"/>
  <cols>
    <col min="1" max="1" width="8.109375" style="19" customWidth="1"/>
    <col min="2" max="2" width="10.44140625" style="20" customWidth="1"/>
    <col min="3" max="3" width="38.5546875" style="20" customWidth="1"/>
    <col min="4" max="4" width="20.5546875" style="20" customWidth="1"/>
    <col min="5" max="5" width="11.88671875" style="20" customWidth="1"/>
    <col min="6" max="6" width="15.33203125" style="43" customWidth="1"/>
    <col min="7" max="7" width="4.88671875" style="19" customWidth="1"/>
    <col min="8" max="8" width="13.77734375" style="19" bestFit="1" customWidth="1"/>
    <col min="9" max="9" width="8.44140625" style="19" bestFit="1" customWidth="1"/>
    <col min="10" max="12" width="10.88671875" style="19"/>
    <col min="13" max="13" width="12.88671875" style="19" bestFit="1" customWidth="1"/>
    <col min="14" max="16384" width="10.88671875" style="19"/>
  </cols>
  <sheetData>
    <row r="1" spans="1:16" ht="20.399999999999999" x14ac:dyDescent="0.35">
      <c r="A1" s="82" t="str">
        <f>"Oportunidad de Digitación SIS - Mes de "&amp; N1&amp;" "&amp; O1</f>
        <v>Oportunidad de Digitación SIS - Mes de Marzo 2025</v>
      </c>
      <c r="B1" s="82"/>
      <c r="C1" s="82"/>
      <c r="D1" s="82"/>
      <c r="E1" s="82"/>
      <c r="F1" s="82"/>
      <c r="G1" s="15"/>
      <c r="H1" s="15"/>
      <c r="I1" s="16"/>
      <c r="J1" s="17"/>
      <c r="K1" s="17"/>
      <c r="L1" s="17"/>
      <c r="M1" s="18">
        <v>3</v>
      </c>
      <c r="N1" s="18" t="str">
        <f>VLOOKUP(M1,Tablas!D2:E13,2,0)</f>
        <v>Marzo</v>
      </c>
      <c r="O1" s="18">
        <v>2025</v>
      </c>
      <c r="P1" s="17"/>
    </row>
    <row r="2" spans="1:16" x14ac:dyDescent="0.25">
      <c r="A2" s="17"/>
      <c r="C2" s="21"/>
      <c r="D2" s="21"/>
      <c r="E2" s="21"/>
      <c r="F2" s="22"/>
      <c r="G2" s="17"/>
      <c r="H2" s="17"/>
      <c r="I2" s="23"/>
      <c r="J2" s="17"/>
      <c r="K2" s="17"/>
      <c r="L2" s="17"/>
      <c r="M2" s="17"/>
      <c r="N2" s="17"/>
      <c r="O2" s="17"/>
      <c r="P2" s="17"/>
    </row>
    <row r="3" spans="1:16" ht="75" x14ac:dyDescent="0.25">
      <c r="A3" s="24" t="s">
        <v>0</v>
      </c>
      <c r="B3" s="24" t="s">
        <v>1</v>
      </c>
      <c r="C3" s="24" t="s">
        <v>2</v>
      </c>
      <c r="D3" s="24" t="s">
        <v>3</v>
      </c>
      <c r="E3" s="24" t="s">
        <v>4</v>
      </c>
      <c r="F3" s="24" t="s">
        <v>5</v>
      </c>
      <c r="G3" s="17"/>
      <c r="H3" s="17"/>
      <c r="I3" s="23"/>
      <c r="J3" s="17"/>
      <c r="K3" s="17"/>
      <c r="L3" s="17"/>
      <c r="M3" s="17"/>
      <c r="N3" s="17"/>
      <c r="O3" s="17"/>
      <c r="P3" s="17"/>
    </row>
    <row r="4" spans="1:16" x14ac:dyDescent="0.25">
      <c r="A4" s="25">
        <v>1</v>
      </c>
      <c r="B4" s="25">
        <v>239</v>
      </c>
      <c r="C4" s="26" t="s">
        <v>32</v>
      </c>
      <c r="D4" s="25">
        <f>VLOOKUP($M4,Data_Mensual!$A:$E,5,0)</f>
        <v>3398</v>
      </c>
      <c r="E4" s="25">
        <f>VLOOKUP($M4,Data_Mensual!$A:$G,6,0)</f>
        <v>3494</v>
      </c>
      <c r="F4" s="27">
        <f>VLOOKUP($M4,Data_Mensual!$A:$G,7,0)</f>
        <v>0.97252432741843164</v>
      </c>
      <c r="G4" s="17"/>
      <c r="H4" s="17"/>
      <c r="I4" s="23"/>
      <c r="J4" s="17"/>
      <c r="K4" s="17"/>
      <c r="L4" s="17"/>
      <c r="M4" s="17" t="str">
        <f>B4&amp;$N$1&amp;$O$1</f>
        <v>239Marzo2025</v>
      </c>
      <c r="N4" s="17"/>
      <c r="O4" s="17"/>
      <c r="P4" s="17"/>
    </row>
    <row r="5" spans="1:16" x14ac:dyDescent="0.25">
      <c r="A5" s="25">
        <v>2</v>
      </c>
      <c r="B5" s="25">
        <v>11117</v>
      </c>
      <c r="C5" s="26" t="s">
        <v>15</v>
      </c>
      <c r="D5" s="25">
        <f>VLOOKUP($M5,Data_Mensual!$A:$E,5,0)</f>
        <v>6105</v>
      </c>
      <c r="E5" s="25">
        <f>VLOOKUP($M5,Data_Mensual!$A:$G,6,0)</f>
        <v>6361</v>
      </c>
      <c r="F5" s="27">
        <f>VLOOKUP($M5,Data_Mensual!$A:$G,7,0)</f>
        <v>0.95975475554158152</v>
      </c>
      <c r="G5" s="17"/>
      <c r="H5" s="17"/>
      <c r="I5" s="28" t="s">
        <v>8</v>
      </c>
      <c r="J5" s="17"/>
      <c r="K5" s="17"/>
      <c r="L5" s="17"/>
      <c r="M5" s="17" t="str">
        <f t="shared" ref="M5:M26" si="0">B5&amp;$N$1&amp;$O$1</f>
        <v>11117Marzo2025</v>
      </c>
      <c r="N5" s="17"/>
      <c r="O5" s="17"/>
      <c r="P5" s="17"/>
    </row>
    <row r="6" spans="1:16" x14ac:dyDescent="0.25">
      <c r="A6" s="25">
        <v>3</v>
      </c>
      <c r="B6" s="25">
        <v>11882</v>
      </c>
      <c r="C6" s="26" t="s">
        <v>22</v>
      </c>
      <c r="D6" s="25">
        <f>VLOOKUP($M6,Data_Mensual!$A:$E,5,0)</f>
        <v>823</v>
      </c>
      <c r="E6" s="25">
        <f>VLOOKUP($M6,Data_Mensual!$A:$G,6,0)</f>
        <v>860</v>
      </c>
      <c r="F6" s="27">
        <f>VLOOKUP($M6,Data_Mensual!$A:$G,7,0)</f>
        <v>0.9569767441860465</v>
      </c>
      <c r="G6" s="17"/>
      <c r="H6" s="29" t="s">
        <v>10</v>
      </c>
      <c r="I6" s="30" t="s">
        <v>11</v>
      </c>
      <c r="J6" s="17"/>
      <c r="K6" s="17"/>
      <c r="L6" s="17"/>
      <c r="M6" s="17" t="str">
        <f t="shared" si="0"/>
        <v>11882Marzo2025</v>
      </c>
      <c r="N6" s="17"/>
      <c r="O6" s="17"/>
      <c r="P6" s="17"/>
    </row>
    <row r="7" spans="1:16" x14ac:dyDescent="0.25">
      <c r="A7" s="25">
        <v>4</v>
      </c>
      <c r="B7" s="25" t="s">
        <v>70</v>
      </c>
      <c r="C7" s="26" t="s">
        <v>66</v>
      </c>
      <c r="D7" s="25">
        <f>VLOOKUP($M8,Data_Mensual!$A:$E,5,0)</f>
        <v>1312</v>
      </c>
      <c r="E7" s="25">
        <f>VLOOKUP($M8,Data_Mensual!$A:$G,6,0)</f>
        <v>1385</v>
      </c>
      <c r="F7" s="27">
        <f>VLOOKUP($M7,Data_Mensual!$A:$G,7,0)</f>
        <v>0.95688456189151594</v>
      </c>
      <c r="G7" s="17"/>
      <c r="H7" s="29" t="s">
        <v>13</v>
      </c>
      <c r="I7" s="31" t="s">
        <v>14</v>
      </c>
      <c r="J7" s="17"/>
      <c r="K7" s="17"/>
      <c r="L7" s="17"/>
      <c r="M7" s="17" t="str">
        <f t="shared" si="0"/>
        <v>12165Marzo2025</v>
      </c>
      <c r="N7" s="17"/>
      <c r="O7" s="17"/>
      <c r="P7" s="17"/>
    </row>
    <row r="8" spans="1:16" x14ac:dyDescent="0.25">
      <c r="A8" s="25">
        <v>5</v>
      </c>
      <c r="B8" s="25">
        <v>10904</v>
      </c>
      <c r="C8" s="26" t="s">
        <v>29</v>
      </c>
      <c r="D8" s="25">
        <f>VLOOKUP($M8,Data_Mensual!$A:$E,5,0)</f>
        <v>1312</v>
      </c>
      <c r="E8" s="25">
        <f>VLOOKUP($M8,Data_Mensual!$A:$G,6,0)</f>
        <v>1385</v>
      </c>
      <c r="F8" s="27">
        <f>VLOOKUP($M8,Data_Mensual!$A:$G,7,0)</f>
        <v>0.94729241877256321</v>
      </c>
      <c r="G8" s="17"/>
      <c r="H8" s="29" t="s">
        <v>16</v>
      </c>
      <c r="I8" s="32" t="s">
        <v>17</v>
      </c>
      <c r="J8" s="17"/>
      <c r="K8" s="17"/>
      <c r="L8" s="17"/>
      <c r="M8" s="17" t="str">
        <f t="shared" si="0"/>
        <v>10904Marzo2025</v>
      </c>
      <c r="N8" s="17"/>
      <c r="O8" s="17"/>
      <c r="P8" s="17"/>
    </row>
    <row r="9" spans="1:16" x14ac:dyDescent="0.25">
      <c r="A9" s="25">
        <v>6</v>
      </c>
      <c r="B9" s="25">
        <v>235</v>
      </c>
      <c r="C9" s="26" t="s">
        <v>33</v>
      </c>
      <c r="D9" s="25">
        <f>VLOOKUP($M9,Data_Mensual!$A:$E,5,0)</f>
        <v>2002</v>
      </c>
      <c r="E9" s="25">
        <f>VLOOKUP($M9,Data_Mensual!$A:$G,6,0)</f>
        <v>2126</v>
      </c>
      <c r="F9" s="27">
        <f>VLOOKUP($M9,Data_Mensual!$A:$G,7,0)</f>
        <v>0.94167450611476955</v>
      </c>
      <c r="G9" s="17"/>
      <c r="H9" s="29" t="s">
        <v>19</v>
      </c>
      <c r="I9" s="33" t="s">
        <v>20</v>
      </c>
      <c r="J9" s="17"/>
      <c r="K9" s="17"/>
      <c r="L9" s="17"/>
      <c r="M9" s="17" t="str">
        <f t="shared" si="0"/>
        <v>235Marzo2025</v>
      </c>
      <c r="N9" s="17"/>
      <c r="O9" s="17"/>
      <c r="P9" s="17"/>
    </row>
    <row r="10" spans="1:16" x14ac:dyDescent="0.25">
      <c r="A10" s="25">
        <v>7</v>
      </c>
      <c r="B10" s="25">
        <v>11799</v>
      </c>
      <c r="C10" s="26" t="s">
        <v>21</v>
      </c>
      <c r="D10" s="25">
        <f>VLOOKUP($M10,Data_Mensual!$A:$E,5,0)</f>
        <v>1366</v>
      </c>
      <c r="E10" s="25">
        <f>VLOOKUP($M10,Data_Mensual!$A:$G,6,0)</f>
        <v>1452</v>
      </c>
      <c r="F10" s="27">
        <f>VLOOKUP($M10,Data_Mensual!$A:$G,7,0)</f>
        <v>0.94077134986225897</v>
      </c>
      <c r="G10" s="17"/>
      <c r="H10" s="17"/>
      <c r="I10" s="23"/>
      <c r="J10" s="17"/>
      <c r="K10" s="17"/>
      <c r="L10" s="17"/>
      <c r="M10" s="17" t="str">
        <f t="shared" si="0"/>
        <v>11799Marzo2025</v>
      </c>
      <c r="N10" s="17"/>
      <c r="O10" s="17"/>
      <c r="P10" s="17"/>
    </row>
    <row r="11" spans="1:16" x14ac:dyDescent="0.25">
      <c r="A11" s="25">
        <v>8</v>
      </c>
      <c r="B11" s="25" t="s">
        <v>68</v>
      </c>
      <c r="C11" s="26" t="s">
        <v>67</v>
      </c>
      <c r="D11" s="25">
        <f>VLOOKUP($M12,Data_Mensual!$A:$E,5,0)</f>
        <v>2705</v>
      </c>
      <c r="E11" s="25">
        <f>VLOOKUP($M12,Data_Mensual!$A:$G,6,0)</f>
        <v>2911</v>
      </c>
      <c r="F11" s="27">
        <f>VLOOKUP($M11,Data_Mensual!$A:$G,7,0)</f>
        <v>0.93255982596084119</v>
      </c>
      <c r="G11" s="17"/>
      <c r="H11" s="17"/>
      <c r="I11" s="23"/>
      <c r="J11" s="17"/>
      <c r="K11" s="17"/>
      <c r="L11" s="17"/>
      <c r="M11" s="17" t="str">
        <f t="shared" si="0"/>
        <v>12163Marzo2025</v>
      </c>
      <c r="N11" s="17"/>
      <c r="O11" s="17"/>
      <c r="P11" s="17"/>
    </row>
    <row r="12" spans="1:16" x14ac:dyDescent="0.25">
      <c r="A12" s="25">
        <v>9</v>
      </c>
      <c r="B12" s="25">
        <v>240</v>
      </c>
      <c r="C12" s="26" t="s">
        <v>23</v>
      </c>
      <c r="D12" s="25">
        <f>VLOOKUP($M12,Data_Mensual!$A:$E,5,0)</f>
        <v>2705</v>
      </c>
      <c r="E12" s="25">
        <f>VLOOKUP($M12,Data_Mensual!$A:$G,6,0)</f>
        <v>2911</v>
      </c>
      <c r="F12" s="27">
        <f>VLOOKUP($M12,Data_Mensual!$A:$G,7,0)</f>
        <v>0.92923394022672623</v>
      </c>
      <c r="G12" s="17"/>
      <c r="H12" s="17"/>
      <c r="I12" s="23"/>
      <c r="J12" s="34"/>
      <c r="K12" s="17"/>
      <c r="L12" s="17"/>
      <c r="M12" s="17" t="str">
        <f t="shared" si="0"/>
        <v>240Marzo2025</v>
      </c>
      <c r="N12" s="17"/>
      <c r="O12" s="17"/>
      <c r="P12" s="17"/>
    </row>
    <row r="13" spans="1:16" x14ac:dyDescent="0.25">
      <c r="A13" s="25">
        <v>10</v>
      </c>
      <c r="B13" s="25">
        <v>241</v>
      </c>
      <c r="C13" s="26" t="s">
        <v>30</v>
      </c>
      <c r="D13" s="25">
        <f>VLOOKUP($M13,Data_Mensual!$A:$E,5,0)</f>
        <v>1072</v>
      </c>
      <c r="E13" s="25">
        <f>VLOOKUP($M13,Data_Mensual!$A:$G,6,0)</f>
        <v>1175</v>
      </c>
      <c r="F13" s="27">
        <f>VLOOKUP($M13,Data_Mensual!$A:$G,7,0)</f>
        <v>0.91234042553191486</v>
      </c>
      <c r="G13" s="17"/>
      <c r="H13" s="17"/>
      <c r="I13" s="23"/>
      <c r="J13" s="17"/>
      <c r="K13" s="17"/>
      <c r="L13" s="17"/>
      <c r="M13" s="17" t="str">
        <f t="shared" si="0"/>
        <v>241Marzo2025</v>
      </c>
      <c r="N13" s="17"/>
      <c r="O13" s="17"/>
      <c r="P13" s="17"/>
    </row>
    <row r="14" spans="1:16" x14ac:dyDescent="0.25">
      <c r="A14" s="25">
        <v>11</v>
      </c>
      <c r="B14" s="25">
        <v>236</v>
      </c>
      <c r="C14" s="26" t="s">
        <v>25</v>
      </c>
      <c r="D14" s="25">
        <f>VLOOKUP($M14,Data_Mensual!$A:$E,5,0)</f>
        <v>3300</v>
      </c>
      <c r="E14" s="25">
        <f>VLOOKUP($M14,Data_Mensual!$A:$G,6,0)</f>
        <v>3702</v>
      </c>
      <c r="F14" s="27">
        <f>VLOOKUP($M14,Data_Mensual!$A:$G,7,0)</f>
        <v>0.89141004862236628</v>
      </c>
      <c r="G14" s="17"/>
      <c r="H14" s="17"/>
      <c r="I14" s="23"/>
      <c r="J14" s="17"/>
      <c r="K14" s="17"/>
      <c r="L14" s="17"/>
      <c r="M14" s="17" t="str">
        <f t="shared" si="0"/>
        <v>236Marzo2025</v>
      </c>
      <c r="N14" s="17"/>
      <c r="O14" s="17"/>
      <c r="P14" s="17"/>
    </row>
    <row r="15" spans="1:16" x14ac:dyDescent="0.25">
      <c r="A15" s="25">
        <v>12</v>
      </c>
      <c r="B15" s="25">
        <v>11116</v>
      </c>
      <c r="C15" s="54" t="s">
        <v>28</v>
      </c>
      <c r="D15" s="25">
        <f>VLOOKUP($M15,Data_Mensual!$A:$E,5,0)</f>
        <v>7567</v>
      </c>
      <c r="E15" s="25">
        <f>VLOOKUP($M15,Data_Mensual!$A:$G,6,0)</f>
        <v>8551</v>
      </c>
      <c r="F15" s="27">
        <f>VLOOKUP($M15,Data_Mensual!$A:$G,7,0)</f>
        <v>0.88492573967956967</v>
      </c>
      <c r="G15" s="17"/>
      <c r="H15" s="17"/>
      <c r="I15" s="23"/>
      <c r="J15" s="17"/>
      <c r="K15" s="17"/>
      <c r="L15" s="17"/>
      <c r="M15" s="17" t="str">
        <f t="shared" si="0"/>
        <v>11116Marzo2025</v>
      </c>
      <c r="N15" s="17"/>
      <c r="O15" s="17"/>
      <c r="P15" s="17"/>
    </row>
    <row r="16" spans="1:16" x14ac:dyDescent="0.25">
      <c r="A16" s="25">
        <v>13</v>
      </c>
      <c r="B16" s="25">
        <v>238</v>
      </c>
      <c r="C16" s="26" t="s">
        <v>35</v>
      </c>
      <c r="D16" s="25">
        <f>VLOOKUP($M16,Data_Mensual!$A:$E,5,0)</f>
        <v>1724</v>
      </c>
      <c r="E16" s="25">
        <f>VLOOKUP($M16,Data_Mensual!$A:$G,6,0)</f>
        <v>1968</v>
      </c>
      <c r="F16" s="27">
        <f>VLOOKUP($M16,Data_Mensual!$A:$G,7,0)</f>
        <v>0.87601626016260159</v>
      </c>
      <c r="G16" s="17"/>
      <c r="H16" s="17"/>
      <c r="I16" s="23"/>
      <c r="J16" s="17"/>
      <c r="K16" s="17"/>
      <c r="L16" s="17"/>
      <c r="M16" s="17" t="str">
        <f t="shared" si="0"/>
        <v>238Marzo2025</v>
      </c>
      <c r="N16" s="17"/>
      <c r="O16" s="17"/>
      <c r="P16" s="17"/>
    </row>
    <row r="17" spans="1:16" x14ac:dyDescent="0.25">
      <c r="A17" s="25">
        <v>14</v>
      </c>
      <c r="B17" s="25">
        <v>242</v>
      </c>
      <c r="C17" s="26" t="s">
        <v>7</v>
      </c>
      <c r="D17" s="25">
        <f>VLOOKUP($M17,Data_Mensual!$A:$E,5,0)</f>
        <v>1564</v>
      </c>
      <c r="E17" s="25">
        <f>VLOOKUP($M17,Data_Mensual!$A:$G,6,0)</f>
        <v>1810</v>
      </c>
      <c r="F17" s="27">
        <f>VLOOKUP($M17,Data_Mensual!$A:$G,7,0)</f>
        <v>0.8640883977900552</v>
      </c>
      <c r="G17" s="17"/>
      <c r="H17" s="17"/>
      <c r="I17" s="23"/>
      <c r="J17" s="17"/>
      <c r="K17" s="17"/>
      <c r="L17" s="17"/>
      <c r="M17" s="17" t="str">
        <f t="shared" si="0"/>
        <v>242Marzo2025</v>
      </c>
      <c r="N17" s="17"/>
      <c r="O17" s="17"/>
      <c r="P17" s="17"/>
    </row>
    <row r="18" spans="1:16" x14ac:dyDescent="0.25">
      <c r="A18" s="25">
        <v>15</v>
      </c>
      <c r="B18" s="25">
        <v>11931</v>
      </c>
      <c r="C18" s="26" t="s">
        <v>26</v>
      </c>
      <c r="D18" s="25">
        <f>VLOOKUP($M18,Data_Mensual!$A:$E,5,0)</f>
        <v>1810</v>
      </c>
      <c r="E18" s="25">
        <f>VLOOKUP($M18,Data_Mensual!$A:$G,6,0)</f>
        <v>2098</v>
      </c>
      <c r="F18" s="27">
        <f>VLOOKUP($M18,Data_Mensual!$A:$G,7,0)</f>
        <v>0.86272640610104867</v>
      </c>
      <c r="G18" s="17"/>
      <c r="H18" s="17"/>
      <c r="I18" s="23"/>
      <c r="J18" s="17"/>
      <c r="K18" s="17"/>
      <c r="L18" s="17"/>
      <c r="M18" s="17" t="str">
        <f t="shared" si="0"/>
        <v>11931Marzo2025</v>
      </c>
      <c r="N18" s="17"/>
      <c r="O18" s="17"/>
      <c r="P18" s="17"/>
    </row>
    <row r="19" spans="1:16" x14ac:dyDescent="0.25">
      <c r="A19" s="25">
        <v>16</v>
      </c>
      <c r="B19" s="25">
        <v>10951</v>
      </c>
      <c r="C19" s="26" t="s">
        <v>24</v>
      </c>
      <c r="D19" s="25">
        <f>VLOOKUP($M19,Data_Mensual!$A:$E,5,0)</f>
        <v>786</v>
      </c>
      <c r="E19" s="25">
        <f>VLOOKUP($M19,Data_Mensual!$A:$G,6,0)</f>
        <v>926</v>
      </c>
      <c r="F19" s="27">
        <f>VLOOKUP($M19,Data_Mensual!$A:$G,7,0)</f>
        <v>0.84881209503239741</v>
      </c>
      <c r="G19" s="17"/>
      <c r="H19" s="17"/>
      <c r="I19" s="23"/>
      <c r="J19" s="17"/>
      <c r="K19" s="17"/>
      <c r="L19" s="17"/>
      <c r="M19" s="17" t="str">
        <f t="shared" si="0"/>
        <v>10951Marzo2025</v>
      </c>
      <c r="N19" s="17"/>
      <c r="O19" s="17"/>
      <c r="P19" s="17"/>
    </row>
    <row r="20" spans="1:16" x14ac:dyDescent="0.25">
      <c r="A20" s="25">
        <v>17</v>
      </c>
      <c r="B20" s="25">
        <v>237</v>
      </c>
      <c r="C20" s="26" t="s">
        <v>31</v>
      </c>
      <c r="D20" s="25">
        <f>VLOOKUP($M21,Data_Mensual!$A:$E,5,0)</f>
        <v>2561</v>
      </c>
      <c r="E20" s="25">
        <f>VLOOKUP($M21,Data_Mensual!$A:$G,6,0)</f>
        <v>3531</v>
      </c>
      <c r="F20" s="27">
        <f>VLOOKUP($M20,Data_Mensual!$A:$G,7,0)</f>
        <v>0.80139303482587065</v>
      </c>
      <c r="G20" s="17"/>
      <c r="H20" s="17"/>
      <c r="I20" s="23"/>
      <c r="J20" s="17"/>
      <c r="K20" s="17"/>
      <c r="L20" s="17"/>
      <c r="M20" s="17" t="str">
        <f t="shared" si="0"/>
        <v>237Marzo2025</v>
      </c>
      <c r="N20" s="17"/>
      <c r="O20" s="17"/>
      <c r="P20" s="17"/>
    </row>
    <row r="21" spans="1:16" x14ac:dyDescent="0.25">
      <c r="A21" s="25">
        <v>18</v>
      </c>
      <c r="B21" s="25">
        <v>243</v>
      </c>
      <c r="C21" s="26" t="s">
        <v>34</v>
      </c>
      <c r="D21" s="25">
        <f>VLOOKUP($M21,Data_Mensual!$A:$E,5,0)</f>
        <v>2561</v>
      </c>
      <c r="E21" s="25">
        <f>VLOOKUP($M21,Data_Mensual!$A:$G,6,0)</f>
        <v>3531</v>
      </c>
      <c r="F21" s="27">
        <f>VLOOKUP($M21,Data_Mensual!$A:$G,7,0)</f>
        <v>0.72529028603794954</v>
      </c>
      <c r="G21" s="17"/>
      <c r="H21" s="17"/>
      <c r="I21" s="23"/>
      <c r="J21" s="17"/>
      <c r="K21" s="17"/>
      <c r="L21" s="35"/>
      <c r="M21" s="17" t="str">
        <f t="shared" si="0"/>
        <v>243Marzo2025</v>
      </c>
      <c r="N21" s="17"/>
      <c r="O21" s="17"/>
      <c r="P21" s="17"/>
    </row>
    <row r="22" spans="1:16" x14ac:dyDescent="0.25">
      <c r="A22" s="25">
        <v>19</v>
      </c>
      <c r="B22" s="25" t="s">
        <v>69</v>
      </c>
      <c r="C22" s="26" t="s">
        <v>65</v>
      </c>
      <c r="D22" s="25">
        <f>VLOOKUP($M23,Data_Mensual!$A:$E,5,0)</f>
        <v>1096</v>
      </c>
      <c r="E22" s="25">
        <f>VLOOKUP($M23,Data_Mensual!$A:$G,6,0)</f>
        <v>2117</v>
      </c>
      <c r="F22" s="27">
        <f>VLOOKUP($M22,Data_Mensual!$A:$G,7,0)</f>
        <v>0.66743471582181257</v>
      </c>
      <c r="G22" s="17"/>
      <c r="H22" s="17"/>
      <c r="I22" s="23"/>
      <c r="J22" s="17"/>
      <c r="K22" s="17"/>
      <c r="L22" s="17"/>
      <c r="M22" s="17" t="str">
        <f t="shared" si="0"/>
        <v>12166Marzo2025</v>
      </c>
      <c r="N22" s="17"/>
      <c r="O22" s="17"/>
      <c r="P22" s="17"/>
    </row>
    <row r="23" spans="1:16" x14ac:dyDescent="0.25">
      <c r="A23" s="25">
        <v>20</v>
      </c>
      <c r="B23" s="25">
        <v>1557</v>
      </c>
      <c r="C23" s="54" t="s">
        <v>12</v>
      </c>
      <c r="D23" s="25">
        <f>VLOOKUP($M23,Data_Mensual!$A:$E,5,0)</f>
        <v>1096</v>
      </c>
      <c r="E23" s="25">
        <f>VLOOKUP($M23,Data_Mensual!$A:$G,6,0)</f>
        <v>2117</v>
      </c>
      <c r="F23" s="27">
        <f>VLOOKUP($M23,Data_Mensual!$A:$G,7,0)</f>
        <v>0.51771374586679264</v>
      </c>
      <c r="G23" s="17"/>
      <c r="H23" s="17"/>
      <c r="I23" s="23"/>
      <c r="J23" s="17"/>
      <c r="K23" s="17"/>
      <c r="L23" s="17"/>
      <c r="M23" s="17" t="str">
        <f t="shared" si="0"/>
        <v>1557Marzo2025</v>
      </c>
      <c r="N23" s="17"/>
      <c r="O23" s="17"/>
      <c r="P23" s="17"/>
    </row>
    <row r="24" spans="1:16" x14ac:dyDescent="0.25">
      <c r="A24" s="25">
        <v>21</v>
      </c>
      <c r="B24" s="25">
        <v>234</v>
      </c>
      <c r="C24" s="26" t="s">
        <v>18</v>
      </c>
      <c r="D24" s="25">
        <f>VLOOKUP($M24,Data_Mensual!$A:$E,5,0)</f>
        <v>3029</v>
      </c>
      <c r="E24" s="25">
        <f>VLOOKUP($M24,Data_Mensual!$A:$G,6,0)</f>
        <v>6396</v>
      </c>
      <c r="F24" s="27">
        <f>VLOOKUP($M24,Data_Mensual!$A:$G,7,0)</f>
        <v>0.47357723577235772</v>
      </c>
      <c r="G24" s="17"/>
      <c r="H24" s="17"/>
      <c r="I24" s="23"/>
      <c r="J24" s="17"/>
      <c r="K24" s="17"/>
      <c r="L24" s="17"/>
      <c r="M24" s="17" t="str">
        <f t="shared" si="0"/>
        <v>234Marzo2025</v>
      </c>
      <c r="N24" s="17"/>
      <c r="O24" s="17"/>
      <c r="P24" s="17"/>
    </row>
    <row r="25" spans="1:16" x14ac:dyDescent="0.25">
      <c r="A25" s="25">
        <v>22</v>
      </c>
      <c r="B25" s="25">
        <v>28745</v>
      </c>
      <c r="C25" s="26" t="s">
        <v>6</v>
      </c>
      <c r="D25" s="25">
        <f>VLOOKUP($M25,Data_Mensual!$A:$E,5,0)</f>
        <v>509</v>
      </c>
      <c r="E25" s="25">
        <f>VLOOKUP($M25,Data_Mensual!$A:$G,6,0)</f>
        <v>1105</v>
      </c>
      <c r="F25" s="27">
        <f>VLOOKUP($M25,Data_Mensual!$A:$G,7,0)</f>
        <v>0.4606334841628959</v>
      </c>
      <c r="G25" s="17"/>
      <c r="H25" s="17"/>
      <c r="I25" s="23"/>
      <c r="J25" s="17"/>
      <c r="K25" s="17"/>
      <c r="L25" s="17"/>
      <c r="M25" s="17" t="str">
        <f t="shared" si="0"/>
        <v>28745Marzo2025</v>
      </c>
      <c r="N25" s="17"/>
      <c r="O25" s="17"/>
      <c r="P25" s="17"/>
    </row>
    <row r="26" spans="1:16" x14ac:dyDescent="0.25">
      <c r="A26" s="25">
        <v>23</v>
      </c>
      <c r="B26" s="25">
        <v>246</v>
      </c>
      <c r="C26" s="26" t="s">
        <v>9</v>
      </c>
      <c r="D26" s="25">
        <f>VLOOKUP($M26,Data_Mensual!$A:$E,5,0)</f>
        <v>181</v>
      </c>
      <c r="E26" s="25">
        <f>VLOOKUP($M26,Data_Mensual!$A:$G,6,0)</f>
        <v>1785</v>
      </c>
      <c r="F26" s="27">
        <f>VLOOKUP($M26,Data_Mensual!$A:$G,7,0)</f>
        <v>0.10140056022408964</v>
      </c>
      <c r="G26" s="17"/>
      <c r="H26" s="17"/>
      <c r="I26" s="23"/>
      <c r="J26" s="17"/>
      <c r="K26" s="17"/>
      <c r="L26" s="17"/>
      <c r="M26" s="17" t="str">
        <f t="shared" si="0"/>
        <v>246Marzo2025</v>
      </c>
      <c r="N26" s="17"/>
      <c r="O26" s="17"/>
      <c r="P26" s="17"/>
    </row>
    <row r="27" spans="1:16" hidden="1" x14ac:dyDescent="0.25">
      <c r="A27" s="66">
        <v>24</v>
      </c>
      <c r="B27" s="66"/>
      <c r="C27" s="76"/>
      <c r="D27" s="66"/>
      <c r="E27" s="66"/>
      <c r="F27" s="67"/>
      <c r="G27" s="17"/>
      <c r="H27" s="17"/>
      <c r="I27" s="23"/>
      <c r="J27" s="17"/>
      <c r="K27" s="17"/>
      <c r="L27" s="17"/>
      <c r="M27" s="17" t="str">
        <f>B26&amp;$N$1&amp;$O$1</f>
        <v>246Marzo2025</v>
      </c>
      <c r="N27" s="17"/>
      <c r="O27" s="17"/>
      <c r="P27" s="17"/>
    </row>
    <row r="28" spans="1:16" x14ac:dyDescent="0.25">
      <c r="A28" s="81" t="s">
        <v>36</v>
      </c>
      <c r="B28" s="81"/>
      <c r="C28" s="81"/>
      <c r="D28" s="36">
        <f>SUM(D4:D23)</f>
        <v>46865</v>
      </c>
      <c r="E28" s="36">
        <f>SUM(E4:E23)</f>
        <v>54411</v>
      </c>
      <c r="F28" s="37">
        <f t="shared" ref="F28" si="1">D28/E28</f>
        <v>0.86131480766756718</v>
      </c>
      <c r="G28" s="17"/>
      <c r="H28" s="17"/>
      <c r="I28" s="23"/>
      <c r="J28" s="17"/>
      <c r="K28" s="17"/>
      <c r="L28" s="17"/>
      <c r="N28" s="17"/>
      <c r="O28" s="17"/>
      <c r="P28" s="17"/>
    </row>
    <row r="29" spans="1:16" x14ac:dyDescent="0.25">
      <c r="A29" s="17"/>
      <c r="B29" s="21"/>
      <c r="C29" s="21"/>
      <c r="D29" s="21"/>
      <c r="E29" s="21"/>
      <c r="F29" s="22"/>
      <c r="G29" s="17"/>
      <c r="H29" s="17"/>
      <c r="I29" s="23"/>
      <c r="J29" s="17"/>
      <c r="K29" s="17"/>
      <c r="L29" s="17"/>
      <c r="N29" s="17"/>
      <c r="O29" s="17"/>
      <c r="P29" s="17"/>
    </row>
    <row r="30" spans="1:16" s="41" customFormat="1" x14ac:dyDescent="0.25">
      <c r="A30" s="17" t="s">
        <v>72</v>
      </c>
      <c r="B30" s="21"/>
      <c r="C30" s="21"/>
      <c r="D30" s="21"/>
      <c r="E30" s="21"/>
      <c r="F30" s="22"/>
      <c r="G30" s="38"/>
      <c r="H30" s="38"/>
      <c r="I30" s="39"/>
      <c r="J30" s="40"/>
      <c r="K30" s="40"/>
      <c r="L30" s="40"/>
      <c r="M30" s="40"/>
      <c r="N30" s="40"/>
      <c r="O30" s="40"/>
      <c r="P30" s="40"/>
    </row>
    <row r="31" spans="1:16" x14ac:dyDescent="0.25">
      <c r="A31" s="17"/>
      <c r="B31" s="21"/>
      <c r="C31" s="21"/>
      <c r="D31" s="42"/>
      <c r="E31" s="42"/>
      <c r="F31" s="22"/>
      <c r="G31" s="17"/>
      <c r="H31" s="17"/>
      <c r="I31" s="17"/>
      <c r="J31" s="17"/>
      <c r="K31" s="17"/>
      <c r="L31" s="17"/>
      <c r="M31" s="17"/>
      <c r="N31" s="17"/>
      <c r="O31" s="17"/>
      <c r="P31" s="17"/>
    </row>
    <row r="32" spans="1:16" x14ac:dyDescent="0.25">
      <c r="A32" s="17"/>
      <c r="B32" s="21"/>
      <c r="C32" s="21"/>
      <c r="D32" s="21"/>
      <c r="E32" s="21"/>
      <c r="F32" s="22"/>
      <c r="G32" s="17"/>
      <c r="H32" s="17"/>
      <c r="I32" s="17"/>
      <c r="J32" s="17"/>
      <c r="K32" s="17"/>
      <c r="L32" s="17"/>
      <c r="M32" s="17"/>
      <c r="N32" s="17"/>
      <c r="O32" s="17"/>
      <c r="P32" s="17"/>
    </row>
    <row r="33" spans="1:16" x14ac:dyDescent="0.25">
      <c r="A33" s="17"/>
      <c r="B33" s="21"/>
      <c r="C33" s="21"/>
      <c r="D33" s="21"/>
      <c r="E33" s="21"/>
      <c r="F33" s="22"/>
      <c r="G33" s="17"/>
      <c r="H33" s="17"/>
      <c r="I33" s="17"/>
      <c r="J33" s="17"/>
      <c r="K33" s="17"/>
      <c r="L33" s="17"/>
      <c r="M33" s="17"/>
      <c r="N33" s="17"/>
      <c r="O33" s="17"/>
      <c r="P33" s="17"/>
    </row>
    <row r="34" spans="1:16" x14ac:dyDescent="0.25">
      <c r="A34" s="17"/>
      <c r="B34" s="21"/>
      <c r="C34" s="21"/>
      <c r="D34" s="21"/>
      <c r="E34" s="21"/>
      <c r="F34" s="22"/>
      <c r="G34" s="17"/>
      <c r="H34" s="17"/>
      <c r="I34" s="17"/>
      <c r="J34" s="17"/>
      <c r="K34" s="17"/>
      <c r="L34" s="17"/>
      <c r="M34" s="17"/>
      <c r="N34" s="17"/>
      <c r="O34" s="17"/>
      <c r="P34" s="17"/>
    </row>
    <row r="35" spans="1:16" x14ac:dyDescent="0.25">
      <c r="G35" s="17"/>
      <c r="H35" s="17"/>
      <c r="I35" s="17"/>
      <c r="J35" s="17"/>
      <c r="K35" s="17"/>
      <c r="L35" s="17"/>
      <c r="M35" s="17"/>
      <c r="N35" s="17"/>
      <c r="O35" s="17"/>
      <c r="P35" s="17"/>
    </row>
    <row r="36" spans="1:16" x14ac:dyDescent="0.25">
      <c r="A36" s="17"/>
      <c r="G36" s="17"/>
      <c r="H36" s="17"/>
      <c r="I36" s="17"/>
      <c r="J36" s="17"/>
      <c r="K36" s="17"/>
      <c r="L36" s="17"/>
      <c r="M36" s="17"/>
      <c r="N36" s="17"/>
      <c r="O36" s="17"/>
      <c r="P36" s="17"/>
    </row>
  </sheetData>
  <sortState xmlns:xlrd2="http://schemas.microsoft.com/office/spreadsheetml/2017/richdata2" ref="B4:F26">
    <sortCondition descending="1" ref="F4:F26"/>
  </sortState>
  <mergeCells count="2">
    <mergeCell ref="A1:F1"/>
    <mergeCell ref="A28:C28"/>
  </mergeCells>
  <conditionalFormatting sqref="F4:F27">
    <cfRule type="cellIs" dxfId="3" priority="1" operator="between">
      <formula>0.75</formula>
      <formula>1</formula>
    </cfRule>
    <cfRule type="cellIs" dxfId="2" priority="2" operator="between">
      <formula>0.6</formula>
      <formula>0.7499</formula>
    </cfRule>
    <cfRule type="cellIs" dxfId="1" priority="3" operator="between">
      <formula>0.25</formula>
      <formula>0.599</formula>
    </cfRule>
    <cfRule type="cellIs" dxfId="0" priority="4" operator="between">
      <formula>0</formula>
      <formula>0.24</formula>
    </cfRule>
  </conditionalFormatting>
  <pageMargins left="0.25" right="0.25" top="0.75" bottom="0.75" header="0.3" footer="0.3"/>
  <pageSetup paperSize="9" scale="80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5121" r:id="rId4" name="CommandButton2">
          <controlPr defaultSize="0" autoLine="0" r:id="rId5">
            <anchor moveWithCells="1" sizeWithCells="1">
              <from>
                <xdr:col>9</xdr:col>
                <xdr:colOff>335280</xdr:colOff>
                <xdr:row>0</xdr:row>
                <xdr:rowOff>160020</xdr:rowOff>
              </from>
              <to>
                <xdr:col>10</xdr:col>
                <xdr:colOff>708660</xdr:colOff>
                <xdr:row>2</xdr:row>
                <xdr:rowOff>266700</xdr:rowOff>
              </to>
            </anchor>
          </controlPr>
        </control>
      </mc:Choice>
      <mc:Fallback>
        <control shapeId="5121" r:id="rId4" name="CommandButton2"/>
      </mc:Fallback>
    </mc:AlternateContent>
    <mc:AlternateContent xmlns:mc="http://schemas.openxmlformats.org/markup-compatibility/2006">
      <mc:Choice Requires="x14">
        <control shapeId="5122" r:id="rId6" name="Drop Down 2">
          <controlPr defaultSize="0" autoLine="0" autoPict="0" macro="[0]!Ordenar_Mensual">
            <anchor moveWithCells="1">
              <from>
                <xdr:col>9</xdr:col>
                <xdr:colOff>281940</xdr:colOff>
                <xdr:row>2</xdr:row>
                <xdr:rowOff>365760</xdr:rowOff>
              </from>
              <to>
                <xdr:col>11</xdr:col>
                <xdr:colOff>213360</xdr:colOff>
                <xdr:row>2</xdr:row>
                <xdr:rowOff>891540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14088-E925-46D6-883C-6BD45C57ABB8}">
  <sheetPr codeName="Hoja4"/>
  <dimension ref="A1:I777"/>
  <sheetViews>
    <sheetView tabSelected="1" zoomScale="80" zoomScaleNormal="80" workbookViewId="0">
      <pane xSplit="1" ySplit="1" topLeftCell="B753" activePane="bottomRight" state="frozen"/>
      <selection pane="topRight" activeCell="B1" sqref="B1"/>
      <selection pane="bottomLeft" activeCell="A2" sqref="A2"/>
      <selection pane="bottomRight" activeCell="A755" sqref="A755:A777"/>
    </sheetView>
  </sheetViews>
  <sheetFormatPr baseColWidth="10" defaultColWidth="11.5546875" defaultRowHeight="13.2" x14ac:dyDescent="0.25"/>
  <cols>
    <col min="1" max="1" width="18.6640625" style="44" bestFit="1" customWidth="1"/>
    <col min="2" max="2" width="4.6640625" style="44" bestFit="1" customWidth="1"/>
    <col min="3" max="3" width="13" style="44" bestFit="1" customWidth="1"/>
    <col min="4" max="4" width="34.6640625" style="51" bestFit="1" customWidth="1"/>
    <col min="5" max="5" width="14.6640625" style="44" bestFit="1" customWidth="1"/>
    <col min="6" max="6" width="10.5546875" style="44" bestFit="1" customWidth="1"/>
    <col min="7" max="7" width="11.6640625" style="44" customWidth="1"/>
    <col min="8" max="8" width="10.33203125" style="44" bestFit="1" customWidth="1"/>
    <col min="9" max="9" width="6.33203125" style="44" bestFit="1" customWidth="1"/>
    <col min="10" max="16384" width="11.5546875" style="44"/>
  </cols>
  <sheetData>
    <row r="1" spans="1:9" ht="26.4" x14ac:dyDescent="0.25">
      <c r="A1" s="45" t="s">
        <v>73</v>
      </c>
      <c r="B1" s="45" t="s">
        <v>74</v>
      </c>
      <c r="C1" s="45" t="s">
        <v>76</v>
      </c>
      <c r="D1" s="45" t="s">
        <v>75</v>
      </c>
      <c r="E1" s="45" t="s">
        <v>77</v>
      </c>
      <c r="F1" s="45" t="s">
        <v>78</v>
      </c>
      <c r="G1" s="45" t="s">
        <v>5</v>
      </c>
      <c r="H1" s="46" t="s">
        <v>37</v>
      </c>
      <c r="I1" s="46" t="s">
        <v>38</v>
      </c>
    </row>
    <row r="2" spans="1:9" x14ac:dyDescent="0.25">
      <c r="A2" s="47" t="str">
        <f t="shared" ref="A2:A65" si="0">C2&amp;H2&amp;I2</f>
        <v>11931Enero2022</v>
      </c>
      <c r="B2" s="48">
        <v>1</v>
      </c>
      <c r="C2" s="48">
        <v>11931</v>
      </c>
      <c r="D2" s="49" t="s">
        <v>39</v>
      </c>
      <c r="E2" s="48">
        <v>874</v>
      </c>
      <c r="F2" s="48">
        <v>884</v>
      </c>
      <c r="G2" s="50">
        <v>0.99</v>
      </c>
      <c r="H2" s="48" t="s">
        <v>40</v>
      </c>
      <c r="I2" s="48">
        <v>2022</v>
      </c>
    </row>
    <row r="3" spans="1:9" x14ac:dyDescent="0.25">
      <c r="A3" s="47" t="str">
        <f t="shared" si="0"/>
        <v>11117Enero2022</v>
      </c>
      <c r="B3" s="48">
        <v>2</v>
      </c>
      <c r="C3" s="48">
        <v>11117</v>
      </c>
      <c r="D3" s="49" t="s">
        <v>15</v>
      </c>
      <c r="E3" s="48">
        <v>7054</v>
      </c>
      <c r="F3" s="48">
        <v>7251</v>
      </c>
      <c r="G3" s="50">
        <v>0.97</v>
      </c>
      <c r="H3" s="48" t="s">
        <v>40</v>
      </c>
      <c r="I3" s="48">
        <v>2022</v>
      </c>
    </row>
    <row r="4" spans="1:9" x14ac:dyDescent="0.25">
      <c r="A4" s="47" t="str">
        <f t="shared" si="0"/>
        <v>243Enero2022</v>
      </c>
      <c r="B4" s="48">
        <v>3</v>
      </c>
      <c r="C4" s="48">
        <v>243</v>
      </c>
      <c r="D4" s="49" t="s">
        <v>34</v>
      </c>
      <c r="E4" s="48">
        <v>2594</v>
      </c>
      <c r="F4" s="48">
        <v>2708</v>
      </c>
      <c r="G4" s="50">
        <v>0.96</v>
      </c>
      <c r="H4" s="48" t="s">
        <v>40</v>
      </c>
      <c r="I4" s="48">
        <v>2022</v>
      </c>
    </row>
    <row r="5" spans="1:9" x14ac:dyDescent="0.25">
      <c r="A5" s="47" t="str">
        <f t="shared" si="0"/>
        <v>233Enero2022</v>
      </c>
      <c r="B5" s="48">
        <v>4</v>
      </c>
      <c r="C5" s="48">
        <v>233</v>
      </c>
      <c r="D5" s="49" t="s">
        <v>27</v>
      </c>
      <c r="E5" s="48">
        <v>3438</v>
      </c>
      <c r="F5" s="48">
        <v>3656</v>
      </c>
      <c r="G5" s="50">
        <v>0.94</v>
      </c>
      <c r="H5" s="48" t="s">
        <v>40</v>
      </c>
      <c r="I5" s="48">
        <v>2022</v>
      </c>
    </row>
    <row r="6" spans="1:9" x14ac:dyDescent="0.25">
      <c r="A6" s="47" t="str">
        <f t="shared" si="0"/>
        <v>11799Enero2022</v>
      </c>
      <c r="B6" s="48">
        <v>5</v>
      </c>
      <c r="C6" s="48">
        <v>11799</v>
      </c>
      <c r="D6" s="49" t="s">
        <v>21</v>
      </c>
      <c r="E6" s="48">
        <v>1180</v>
      </c>
      <c r="F6" s="48">
        <v>1267</v>
      </c>
      <c r="G6" s="50">
        <v>0.93</v>
      </c>
      <c r="H6" s="48" t="s">
        <v>40</v>
      </c>
      <c r="I6" s="48">
        <v>2022</v>
      </c>
    </row>
    <row r="7" spans="1:9" x14ac:dyDescent="0.25">
      <c r="A7" s="47" t="str">
        <f t="shared" si="0"/>
        <v>1557Enero2022</v>
      </c>
      <c r="B7" s="48">
        <v>6</v>
      </c>
      <c r="C7" s="48">
        <v>1557</v>
      </c>
      <c r="D7" s="49" t="s">
        <v>12</v>
      </c>
      <c r="E7" s="48">
        <v>896</v>
      </c>
      <c r="F7" s="48">
        <v>967</v>
      </c>
      <c r="G7" s="50">
        <v>0.93</v>
      </c>
      <c r="H7" s="48" t="s">
        <v>40</v>
      </c>
      <c r="I7" s="48">
        <v>2022</v>
      </c>
    </row>
    <row r="8" spans="1:9" x14ac:dyDescent="0.25">
      <c r="A8" s="47" t="str">
        <f t="shared" si="0"/>
        <v>11882Enero2022</v>
      </c>
      <c r="B8" s="48">
        <v>7</v>
      </c>
      <c r="C8" s="48">
        <v>11882</v>
      </c>
      <c r="D8" s="49" t="s">
        <v>22</v>
      </c>
      <c r="E8" s="48">
        <v>878</v>
      </c>
      <c r="F8" s="48">
        <v>964</v>
      </c>
      <c r="G8" s="50">
        <v>0.91</v>
      </c>
      <c r="H8" s="48" t="s">
        <v>40</v>
      </c>
      <c r="I8" s="48">
        <v>2022</v>
      </c>
    </row>
    <row r="9" spans="1:9" x14ac:dyDescent="0.25">
      <c r="A9" s="47" t="str">
        <f t="shared" si="0"/>
        <v>238Enero2022</v>
      </c>
      <c r="B9" s="48">
        <v>8</v>
      </c>
      <c r="C9" s="48">
        <v>238</v>
      </c>
      <c r="D9" s="49" t="s">
        <v>35</v>
      </c>
      <c r="E9" s="48">
        <v>1175</v>
      </c>
      <c r="F9" s="48">
        <v>1302</v>
      </c>
      <c r="G9" s="50">
        <v>0.9</v>
      </c>
      <c r="H9" s="48" t="s">
        <v>40</v>
      </c>
      <c r="I9" s="48">
        <v>2022</v>
      </c>
    </row>
    <row r="10" spans="1:9" x14ac:dyDescent="0.25">
      <c r="A10" s="47" t="str">
        <f t="shared" si="0"/>
        <v>28745Enero2022</v>
      </c>
      <c r="B10" s="48">
        <v>9</v>
      </c>
      <c r="C10" s="48">
        <v>28745</v>
      </c>
      <c r="D10" s="49" t="s">
        <v>6</v>
      </c>
      <c r="E10" s="48">
        <v>85</v>
      </c>
      <c r="F10" s="48">
        <v>94</v>
      </c>
      <c r="G10" s="50">
        <v>0.9</v>
      </c>
      <c r="H10" s="48" t="s">
        <v>40</v>
      </c>
      <c r="I10" s="48">
        <v>2022</v>
      </c>
    </row>
    <row r="11" spans="1:9" x14ac:dyDescent="0.25">
      <c r="A11" s="47" t="str">
        <f t="shared" si="0"/>
        <v>10951Enero2022</v>
      </c>
      <c r="B11" s="48">
        <v>10</v>
      </c>
      <c r="C11" s="48">
        <v>10951</v>
      </c>
      <c r="D11" s="49" t="s">
        <v>24</v>
      </c>
      <c r="E11" s="48">
        <v>1356</v>
      </c>
      <c r="F11" s="48">
        <v>1588</v>
      </c>
      <c r="G11" s="50">
        <v>0.85</v>
      </c>
      <c r="H11" s="48" t="s">
        <v>40</v>
      </c>
      <c r="I11" s="48">
        <v>2022</v>
      </c>
    </row>
    <row r="12" spans="1:9" x14ac:dyDescent="0.25">
      <c r="A12" s="47" t="str">
        <f t="shared" si="0"/>
        <v>11116Enero2022</v>
      </c>
      <c r="B12" s="48">
        <v>11</v>
      </c>
      <c r="C12" s="48">
        <v>11116</v>
      </c>
      <c r="D12" s="49" t="s">
        <v>28</v>
      </c>
      <c r="E12" s="48">
        <v>7040</v>
      </c>
      <c r="F12" s="48">
        <v>8300</v>
      </c>
      <c r="G12" s="50">
        <v>0.85</v>
      </c>
      <c r="H12" s="48" t="s">
        <v>40</v>
      </c>
      <c r="I12" s="48">
        <v>2022</v>
      </c>
    </row>
    <row r="13" spans="1:9" x14ac:dyDescent="0.25">
      <c r="A13" s="47" t="str">
        <f t="shared" si="0"/>
        <v>234Enero2022</v>
      </c>
      <c r="B13" s="48">
        <v>12</v>
      </c>
      <c r="C13" s="48">
        <v>234</v>
      </c>
      <c r="D13" s="49" t="s">
        <v>18</v>
      </c>
      <c r="E13" s="48">
        <v>2549</v>
      </c>
      <c r="F13" s="48">
        <v>3195</v>
      </c>
      <c r="G13" s="50">
        <v>0.8</v>
      </c>
      <c r="H13" s="48" t="s">
        <v>40</v>
      </c>
      <c r="I13" s="48">
        <v>2022</v>
      </c>
    </row>
    <row r="14" spans="1:9" x14ac:dyDescent="0.25">
      <c r="A14" s="47" t="str">
        <f t="shared" si="0"/>
        <v>242Enero2022</v>
      </c>
      <c r="B14" s="48">
        <v>13</v>
      </c>
      <c r="C14" s="48">
        <v>242</v>
      </c>
      <c r="D14" s="49" t="s">
        <v>7</v>
      </c>
      <c r="E14" s="48">
        <v>1576</v>
      </c>
      <c r="F14" s="48">
        <v>2079</v>
      </c>
      <c r="G14" s="50">
        <v>0.76</v>
      </c>
      <c r="H14" s="48" t="s">
        <v>40</v>
      </c>
      <c r="I14" s="48">
        <v>2022</v>
      </c>
    </row>
    <row r="15" spans="1:9" x14ac:dyDescent="0.25">
      <c r="A15" s="47" t="str">
        <f t="shared" si="0"/>
        <v>10904Enero2022</v>
      </c>
      <c r="B15" s="48">
        <v>14</v>
      </c>
      <c r="C15" s="48">
        <v>10904</v>
      </c>
      <c r="D15" s="49" t="s">
        <v>29</v>
      </c>
      <c r="E15" s="48">
        <v>1122</v>
      </c>
      <c r="F15" s="48">
        <v>1582</v>
      </c>
      <c r="G15" s="50">
        <v>0.71</v>
      </c>
      <c r="H15" s="48" t="s">
        <v>40</v>
      </c>
      <c r="I15" s="48">
        <v>2022</v>
      </c>
    </row>
    <row r="16" spans="1:9" x14ac:dyDescent="0.25">
      <c r="A16" s="47" t="str">
        <f t="shared" si="0"/>
        <v>235Enero2022</v>
      </c>
      <c r="B16" s="48">
        <v>15</v>
      </c>
      <c r="C16" s="48">
        <v>235</v>
      </c>
      <c r="D16" s="49" t="s">
        <v>33</v>
      </c>
      <c r="E16" s="48">
        <v>2272</v>
      </c>
      <c r="F16" s="48">
        <v>3366</v>
      </c>
      <c r="G16" s="50">
        <v>0.67</v>
      </c>
      <c r="H16" s="48" t="s">
        <v>40</v>
      </c>
      <c r="I16" s="48">
        <v>2022</v>
      </c>
    </row>
    <row r="17" spans="1:9" x14ac:dyDescent="0.25">
      <c r="A17" s="47" t="str">
        <f t="shared" si="0"/>
        <v>237Enero2022</v>
      </c>
      <c r="B17" s="48">
        <v>16</v>
      </c>
      <c r="C17" s="48">
        <v>237</v>
      </c>
      <c r="D17" s="49" t="s">
        <v>31</v>
      </c>
      <c r="E17" s="48">
        <v>2474</v>
      </c>
      <c r="F17" s="48">
        <v>3687</v>
      </c>
      <c r="G17" s="50">
        <v>0.67</v>
      </c>
      <c r="H17" s="48" t="s">
        <v>40</v>
      </c>
      <c r="I17" s="48">
        <v>2022</v>
      </c>
    </row>
    <row r="18" spans="1:9" x14ac:dyDescent="0.25">
      <c r="A18" s="47" t="str">
        <f t="shared" si="0"/>
        <v>241Enero2022</v>
      </c>
      <c r="B18" s="48">
        <v>17</v>
      </c>
      <c r="C18" s="48">
        <v>241</v>
      </c>
      <c r="D18" s="49" t="s">
        <v>30</v>
      </c>
      <c r="E18" s="48">
        <v>1231</v>
      </c>
      <c r="F18" s="48">
        <v>1951</v>
      </c>
      <c r="G18" s="50">
        <v>0.63</v>
      </c>
      <c r="H18" s="48" t="s">
        <v>40</v>
      </c>
      <c r="I18" s="48">
        <v>2022</v>
      </c>
    </row>
    <row r="19" spans="1:9" x14ac:dyDescent="0.25">
      <c r="A19" s="47" t="str">
        <f t="shared" si="0"/>
        <v>246Enero2022</v>
      </c>
      <c r="B19" s="48">
        <v>18</v>
      </c>
      <c r="C19" s="48">
        <v>246</v>
      </c>
      <c r="D19" s="49" t="s">
        <v>9</v>
      </c>
      <c r="E19" s="48">
        <v>1705</v>
      </c>
      <c r="F19" s="48">
        <v>2936</v>
      </c>
      <c r="G19" s="50">
        <v>0.57999999999999996</v>
      </c>
      <c r="H19" s="48" t="s">
        <v>40</v>
      </c>
      <c r="I19" s="48">
        <v>2022</v>
      </c>
    </row>
    <row r="20" spans="1:9" x14ac:dyDescent="0.25">
      <c r="A20" s="47" t="str">
        <f t="shared" si="0"/>
        <v>240Enero2022</v>
      </c>
      <c r="B20" s="48">
        <v>19</v>
      </c>
      <c r="C20" s="48">
        <v>240</v>
      </c>
      <c r="D20" s="49" t="s">
        <v>23</v>
      </c>
      <c r="E20" s="48">
        <v>1396</v>
      </c>
      <c r="F20" s="48">
        <v>2653</v>
      </c>
      <c r="G20" s="50">
        <v>0.53</v>
      </c>
      <c r="H20" s="48" t="s">
        <v>40</v>
      </c>
      <c r="I20" s="48">
        <v>2022</v>
      </c>
    </row>
    <row r="21" spans="1:9" x14ac:dyDescent="0.25">
      <c r="A21" s="47" t="str">
        <f t="shared" si="0"/>
        <v>239Enero2022</v>
      </c>
      <c r="B21" s="48">
        <v>20</v>
      </c>
      <c r="C21" s="48">
        <v>239</v>
      </c>
      <c r="D21" s="49" t="s">
        <v>32</v>
      </c>
      <c r="E21" s="48">
        <v>1313</v>
      </c>
      <c r="F21" s="48">
        <v>2693</v>
      </c>
      <c r="G21" s="50">
        <v>0.49</v>
      </c>
      <c r="H21" s="48" t="s">
        <v>40</v>
      </c>
      <c r="I21" s="48">
        <v>2022</v>
      </c>
    </row>
    <row r="22" spans="1:9" x14ac:dyDescent="0.25">
      <c r="A22" s="47" t="str">
        <f t="shared" si="0"/>
        <v>236Enero2022</v>
      </c>
      <c r="B22" s="48">
        <v>21</v>
      </c>
      <c r="C22" s="48">
        <v>236</v>
      </c>
      <c r="D22" s="49" t="s">
        <v>25</v>
      </c>
      <c r="E22" s="48">
        <v>352</v>
      </c>
      <c r="F22" s="48">
        <v>1727</v>
      </c>
      <c r="G22" s="50">
        <v>0.2</v>
      </c>
      <c r="H22" s="48" t="s">
        <v>40</v>
      </c>
      <c r="I22" s="48">
        <v>2022</v>
      </c>
    </row>
    <row r="23" spans="1:9" x14ac:dyDescent="0.25">
      <c r="A23" s="47" t="str">
        <f t="shared" si="0"/>
        <v>11931Febrero2022</v>
      </c>
      <c r="B23" s="44">
        <v>1</v>
      </c>
      <c r="C23" s="44">
        <v>11931</v>
      </c>
      <c r="D23" s="51" t="s">
        <v>39</v>
      </c>
      <c r="E23" s="44">
        <v>784</v>
      </c>
      <c r="F23" s="44">
        <v>804</v>
      </c>
      <c r="G23" s="52">
        <v>0.98</v>
      </c>
      <c r="H23" s="44" t="s">
        <v>41</v>
      </c>
      <c r="I23" s="48">
        <v>2022</v>
      </c>
    </row>
    <row r="24" spans="1:9" x14ac:dyDescent="0.25">
      <c r="A24" s="47" t="str">
        <f t="shared" si="0"/>
        <v>11117Febrero2022</v>
      </c>
      <c r="B24" s="44">
        <v>2</v>
      </c>
      <c r="C24" s="44">
        <v>11117</v>
      </c>
      <c r="D24" s="51" t="s">
        <v>15</v>
      </c>
      <c r="E24" s="44">
        <v>6630</v>
      </c>
      <c r="F24" s="44">
        <v>6865</v>
      </c>
      <c r="G24" s="52">
        <v>0.97</v>
      </c>
      <c r="H24" s="44" t="s">
        <v>41</v>
      </c>
      <c r="I24" s="48">
        <v>2022</v>
      </c>
    </row>
    <row r="25" spans="1:9" x14ac:dyDescent="0.25">
      <c r="A25" s="47" t="str">
        <f t="shared" si="0"/>
        <v>233Febrero2022</v>
      </c>
      <c r="B25" s="44">
        <v>3</v>
      </c>
      <c r="C25" s="44">
        <v>233</v>
      </c>
      <c r="D25" s="51" t="s">
        <v>27</v>
      </c>
      <c r="E25" s="44">
        <v>3504</v>
      </c>
      <c r="F25" s="44">
        <v>3613</v>
      </c>
      <c r="G25" s="52">
        <v>0.97</v>
      </c>
      <c r="H25" s="44" t="s">
        <v>41</v>
      </c>
      <c r="I25" s="48">
        <v>2022</v>
      </c>
    </row>
    <row r="26" spans="1:9" x14ac:dyDescent="0.25">
      <c r="A26" s="47" t="str">
        <f t="shared" si="0"/>
        <v>10951Febrero2022</v>
      </c>
      <c r="B26" s="44">
        <v>4</v>
      </c>
      <c r="C26" s="44">
        <v>10951</v>
      </c>
      <c r="D26" s="51" t="s">
        <v>24</v>
      </c>
      <c r="E26" s="44">
        <v>1623</v>
      </c>
      <c r="F26" s="44">
        <v>1727</v>
      </c>
      <c r="G26" s="52">
        <v>0.94</v>
      </c>
      <c r="H26" s="44" t="s">
        <v>41</v>
      </c>
      <c r="I26" s="48">
        <v>2022</v>
      </c>
    </row>
    <row r="27" spans="1:9" x14ac:dyDescent="0.25">
      <c r="A27" s="47" t="str">
        <f t="shared" si="0"/>
        <v>243Febrero2022</v>
      </c>
      <c r="B27" s="44">
        <v>5</v>
      </c>
      <c r="C27" s="44">
        <v>243</v>
      </c>
      <c r="D27" s="51" t="s">
        <v>34</v>
      </c>
      <c r="E27" s="44">
        <v>2188</v>
      </c>
      <c r="F27" s="44">
        <v>2316</v>
      </c>
      <c r="G27" s="52">
        <v>0.94</v>
      </c>
      <c r="H27" s="44" t="s">
        <v>41</v>
      </c>
      <c r="I27" s="48">
        <v>2022</v>
      </c>
    </row>
    <row r="28" spans="1:9" x14ac:dyDescent="0.25">
      <c r="A28" s="47" t="str">
        <f t="shared" si="0"/>
        <v>238Febrero2022</v>
      </c>
      <c r="B28" s="44">
        <v>6</v>
      </c>
      <c r="C28" s="44">
        <v>238</v>
      </c>
      <c r="D28" s="51" t="s">
        <v>35</v>
      </c>
      <c r="E28" s="44">
        <v>1482</v>
      </c>
      <c r="F28" s="44">
        <v>1602</v>
      </c>
      <c r="G28" s="52">
        <v>0.93</v>
      </c>
      <c r="H28" s="44" t="s">
        <v>41</v>
      </c>
      <c r="I28" s="48">
        <v>2022</v>
      </c>
    </row>
    <row r="29" spans="1:9" x14ac:dyDescent="0.25">
      <c r="A29" s="47" t="str">
        <f t="shared" si="0"/>
        <v>11799Febrero2022</v>
      </c>
      <c r="B29" s="44">
        <v>7</v>
      </c>
      <c r="C29" s="44">
        <v>11799</v>
      </c>
      <c r="D29" s="51" t="s">
        <v>21</v>
      </c>
      <c r="E29" s="44">
        <v>1050</v>
      </c>
      <c r="F29" s="44">
        <v>1172</v>
      </c>
      <c r="G29" s="52">
        <v>0.9</v>
      </c>
      <c r="H29" s="44" t="s">
        <v>41</v>
      </c>
      <c r="I29" s="48">
        <v>2022</v>
      </c>
    </row>
    <row r="30" spans="1:9" x14ac:dyDescent="0.25">
      <c r="A30" s="47" t="str">
        <f t="shared" si="0"/>
        <v>28745Febrero2022</v>
      </c>
      <c r="B30" s="44">
        <v>8</v>
      </c>
      <c r="C30" s="44">
        <v>28745</v>
      </c>
      <c r="D30" s="51" t="s">
        <v>6</v>
      </c>
      <c r="E30" s="44">
        <v>153</v>
      </c>
      <c r="F30" s="44">
        <v>176</v>
      </c>
      <c r="G30" s="52">
        <v>0.87</v>
      </c>
      <c r="H30" s="44" t="s">
        <v>41</v>
      </c>
      <c r="I30" s="48">
        <v>2022</v>
      </c>
    </row>
    <row r="31" spans="1:9" x14ac:dyDescent="0.25">
      <c r="A31" s="47" t="str">
        <f t="shared" si="0"/>
        <v>242Febrero2022</v>
      </c>
      <c r="B31" s="44">
        <v>9</v>
      </c>
      <c r="C31" s="44">
        <v>242</v>
      </c>
      <c r="D31" s="51" t="s">
        <v>7</v>
      </c>
      <c r="E31" s="44">
        <v>2236</v>
      </c>
      <c r="F31" s="44">
        <v>2630</v>
      </c>
      <c r="G31" s="52">
        <v>0.85</v>
      </c>
      <c r="H31" s="44" t="s">
        <v>41</v>
      </c>
      <c r="I31" s="48">
        <v>2022</v>
      </c>
    </row>
    <row r="32" spans="1:9" x14ac:dyDescent="0.25">
      <c r="A32" s="47" t="str">
        <f t="shared" si="0"/>
        <v>235Febrero2022</v>
      </c>
      <c r="B32" s="44">
        <v>10</v>
      </c>
      <c r="C32" s="44">
        <v>235</v>
      </c>
      <c r="D32" s="51" t="s">
        <v>33</v>
      </c>
      <c r="E32" s="44">
        <v>2331</v>
      </c>
      <c r="F32" s="44">
        <v>2761</v>
      </c>
      <c r="G32" s="52">
        <v>0.84</v>
      </c>
      <c r="H32" s="44" t="s">
        <v>41</v>
      </c>
      <c r="I32" s="48">
        <v>2022</v>
      </c>
    </row>
    <row r="33" spans="1:9" x14ac:dyDescent="0.25">
      <c r="A33" s="47" t="str">
        <f t="shared" si="0"/>
        <v>11116Febrero2022</v>
      </c>
      <c r="B33" s="44">
        <v>11</v>
      </c>
      <c r="C33" s="44">
        <v>11116</v>
      </c>
      <c r="D33" s="51" t="s">
        <v>28</v>
      </c>
      <c r="E33" s="44">
        <v>6346</v>
      </c>
      <c r="F33" s="44">
        <v>7624</v>
      </c>
      <c r="G33" s="52">
        <v>0.83</v>
      </c>
      <c r="H33" s="44" t="s">
        <v>41</v>
      </c>
      <c r="I33" s="48">
        <v>2022</v>
      </c>
    </row>
    <row r="34" spans="1:9" x14ac:dyDescent="0.25">
      <c r="A34" s="47" t="str">
        <f t="shared" si="0"/>
        <v>237Febrero2022</v>
      </c>
      <c r="B34" s="44">
        <v>12</v>
      </c>
      <c r="C34" s="44">
        <v>237</v>
      </c>
      <c r="D34" s="51" t="s">
        <v>31</v>
      </c>
      <c r="E34" s="44">
        <v>2111</v>
      </c>
      <c r="F34" s="44">
        <v>2554</v>
      </c>
      <c r="G34" s="52">
        <v>0.83</v>
      </c>
      <c r="H34" s="44" t="s">
        <v>41</v>
      </c>
      <c r="I34" s="48">
        <v>2022</v>
      </c>
    </row>
    <row r="35" spans="1:9" x14ac:dyDescent="0.25">
      <c r="A35" s="47" t="str">
        <f t="shared" si="0"/>
        <v>11882Febrero2022</v>
      </c>
      <c r="B35" s="44">
        <v>13</v>
      </c>
      <c r="C35" s="44">
        <v>11882</v>
      </c>
      <c r="D35" s="51" t="s">
        <v>22</v>
      </c>
      <c r="E35" s="44">
        <v>644</v>
      </c>
      <c r="F35" s="44">
        <v>786</v>
      </c>
      <c r="G35" s="52">
        <v>0.82</v>
      </c>
      <c r="H35" s="44" t="s">
        <v>41</v>
      </c>
      <c r="I35" s="48">
        <v>2022</v>
      </c>
    </row>
    <row r="36" spans="1:9" x14ac:dyDescent="0.25">
      <c r="A36" s="47" t="str">
        <f t="shared" si="0"/>
        <v>239Febrero2022</v>
      </c>
      <c r="B36" s="44">
        <v>14</v>
      </c>
      <c r="C36" s="44">
        <v>239</v>
      </c>
      <c r="D36" s="51" t="s">
        <v>32</v>
      </c>
      <c r="E36" s="44">
        <v>2098</v>
      </c>
      <c r="F36" s="44">
        <v>2610</v>
      </c>
      <c r="G36" s="52">
        <v>0.8</v>
      </c>
      <c r="H36" s="44" t="s">
        <v>41</v>
      </c>
      <c r="I36" s="48">
        <v>2022</v>
      </c>
    </row>
    <row r="37" spans="1:9" x14ac:dyDescent="0.25">
      <c r="A37" s="47" t="str">
        <f t="shared" si="0"/>
        <v>240Febrero2022</v>
      </c>
      <c r="B37" s="44">
        <v>15</v>
      </c>
      <c r="C37" s="44">
        <v>240</v>
      </c>
      <c r="D37" s="51" t="s">
        <v>23</v>
      </c>
      <c r="E37" s="44">
        <v>1873</v>
      </c>
      <c r="F37" s="44">
        <v>2404</v>
      </c>
      <c r="G37" s="52">
        <v>0.78</v>
      </c>
      <c r="H37" s="44" t="s">
        <v>41</v>
      </c>
      <c r="I37" s="48">
        <v>2022</v>
      </c>
    </row>
    <row r="38" spans="1:9" x14ac:dyDescent="0.25">
      <c r="A38" s="47" t="str">
        <f t="shared" si="0"/>
        <v>241Febrero2022</v>
      </c>
      <c r="B38" s="44">
        <v>16</v>
      </c>
      <c r="C38" s="44">
        <v>241</v>
      </c>
      <c r="D38" s="51" t="s">
        <v>30</v>
      </c>
      <c r="E38" s="44">
        <v>1407</v>
      </c>
      <c r="F38" s="44">
        <v>1846</v>
      </c>
      <c r="G38" s="52">
        <v>0.76</v>
      </c>
      <c r="H38" s="44" t="s">
        <v>41</v>
      </c>
      <c r="I38" s="48">
        <v>2022</v>
      </c>
    </row>
    <row r="39" spans="1:9" x14ac:dyDescent="0.25">
      <c r="A39" s="47" t="str">
        <f t="shared" si="0"/>
        <v>1557Febrero2022</v>
      </c>
      <c r="B39" s="44">
        <v>17</v>
      </c>
      <c r="C39" s="44">
        <v>1557</v>
      </c>
      <c r="D39" s="51" t="s">
        <v>12</v>
      </c>
      <c r="E39" s="44">
        <v>727</v>
      </c>
      <c r="F39" s="44">
        <v>973</v>
      </c>
      <c r="G39" s="52">
        <v>0.75</v>
      </c>
      <c r="H39" s="44" t="s">
        <v>41</v>
      </c>
      <c r="I39" s="48">
        <v>2022</v>
      </c>
    </row>
    <row r="40" spans="1:9" x14ac:dyDescent="0.25">
      <c r="A40" s="47" t="str">
        <f t="shared" si="0"/>
        <v>10904Febrero2022</v>
      </c>
      <c r="B40" s="44">
        <v>18</v>
      </c>
      <c r="C40" s="44">
        <v>10904</v>
      </c>
      <c r="D40" s="51" t="s">
        <v>29</v>
      </c>
      <c r="E40" s="44">
        <v>744</v>
      </c>
      <c r="F40" s="44">
        <v>1040</v>
      </c>
      <c r="G40" s="52">
        <v>0.72</v>
      </c>
      <c r="H40" s="44" t="s">
        <v>41</v>
      </c>
      <c r="I40" s="48">
        <v>2022</v>
      </c>
    </row>
    <row r="41" spans="1:9" x14ac:dyDescent="0.25">
      <c r="A41" s="47" t="str">
        <f t="shared" si="0"/>
        <v>246Febrero2022</v>
      </c>
      <c r="B41" s="44">
        <v>19</v>
      </c>
      <c r="C41" s="44">
        <v>246</v>
      </c>
      <c r="D41" s="51" t="s">
        <v>9</v>
      </c>
      <c r="E41" s="44">
        <v>1133</v>
      </c>
      <c r="F41" s="44">
        <v>1684</v>
      </c>
      <c r="G41" s="52">
        <v>0.67</v>
      </c>
      <c r="H41" s="44" t="s">
        <v>41</v>
      </c>
      <c r="I41" s="48">
        <v>2022</v>
      </c>
    </row>
    <row r="42" spans="1:9" x14ac:dyDescent="0.25">
      <c r="A42" s="47" t="str">
        <f t="shared" si="0"/>
        <v>234Febrero2022</v>
      </c>
      <c r="B42" s="44">
        <v>20</v>
      </c>
      <c r="C42" s="44">
        <v>234</v>
      </c>
      <c r="D42" s="51" t="s">
        <v>18</v>
      </c>
      <c r="E42" s="44">
        <v>2250</v>
      </c>
      <c r="F42" s="44">
        <v>3443</v>
      </c>
      <c r="G42" s="52">
        <v>0.65</v>
      </c>
      <c r="H42" s="44" t="s">
        <v>41</v>
      </c>
      <c r="I42" s="48">
        <v>2022</v>
      </c>
    </row>
    <row r="43" spans="1:9" x14ac:dyDescent="0.25">
      <c r="A43" s="47" t="str">
        <f t="shared" si="0"/>
        <v>236Febrero2022</v>
      </c>
      <c r="B43" s="44">
        <v>21</v>
      </c>
      <c r="C43" s="44">
        <v>236</v>
      </c>
      <c r="D43" s="51" t="s">
        <v>25</v>
      </c>
      <c r="E43" s="44">
        <v>321</v>
      </c>
      <c r="F43" s="44">
        <v>2374</v>
      </c>
      <c r="G43" s="52">
        <v>0.14000000000000001</v>
      </c>
      <c r="H43" s="44" t="s">
        <v>41</v>
      </c>
      <c r="I43" s="48">
        <v>2022</v>
      </c>
    </row>
    <row r="44" spans="1:9" x14ac:dyDescent="0.25">
      <c r="A44" s="47" t="str">
        <f t="shared" si="0"/>
        <v>11117Marzo2022</v>
      </c>
      <c r="B44" s="44">
        <v>1</v>
      </c>
      <c r="C44" s="44">
        <v>11117</v>
      </c>
      <c r="D44" s="51" t="s">
        <v>15</v>
      </c>
      <c r="E44" s="44">
        <v>8630</v>
      </c>
      <c r="F44" s="44">
        <v>8887</v>
      </c>
      <c r="G44" s="52">
        <v>0.97</v>
      </c>
      <c r="H44" s="44" t="s">
        <v>42</v>
      </c>
      <c r="I44" s="44">
        <v>2022</v>
      </c>
    </row>
    <row r="45" spans="1:9" x14ac:dyDescent="0.25">
      <c r="A45" s="47" t="str">
        <f t="shared" si="0"/>
        <v>1557Marzo2022</v>
      </c>
      <c r="B45" s="44">
        <v>2</v>
      </c>
      <c r="C45" s="44">
        <v>1557</v>
      </c>
      <c r="D45" s="51" t="s">
        <v>12</v>
      </c>
      <c r="E45" s="44">
        <v>1520</v>
      </c>
      <c r="F45" s="44">
        <v>1576</v>
      </c>
      <c r="G45" s="52">
        <v>0.96</v>
      </c>
      <c r="H45" s="44" t="s">
        <v>42</v>
      </c>
      <c r="I45" s="44">
        <v>2022</v>
      </c>
    </row>
    <row r="46" spans="1:9" x14ac:dyDescent="0.25">
      <c r="A46" s="47" t="str">
        <f t="shared" si="0"/>
        <v>10951Marzo2022</v>
      </c>
      <c r="B46" s="44">
        <v>3</v>
      </c>
      <c r="C46" s="44">
        <v>10951</v>
      </c>
      <c r="D46" s="51" t="s">
        <v>24</v>
      </c>
      <c r="E46" s="44">
        <v>2007</v>
      </c>
      <c r="F46" s="44">
        <v>2123</v>
      </c>
      <c r="G46" s="52">
        <v>0.95</v>
      </c>
      <c r="H46" s="44" t="s">
        <v>42</v>
      </c>
      <c r="I46" s="44">
        <v>2022</v>
      </c>
    </row>
    <row r="47" spans="1:9" x14ac:dyDescent="0.25">
      <c r="A47" s="47" t="str">
        <f t="shared" si="0"/>
        <v>233Marzo2022</v>
      </c>
      <c r="B47" s="44">
        <v>4</v>
      </c>
      <c r="C47" s="44">
        <v>233</v>
      </c>
      <c r="D47" s="51" t="s">
        <v>27</v>
      </c>
      <c r="E47" s="44">
        <v>6116</v>
      </c>
      <c r="F47" s="44">
        <v>6413</v>
      </c>
      <c r="G47" s="52">
        <v>0.95</v>
      </c>
      <c r="H47" s="44" t="s">
        <v>42</v>
      </c>
      <c r="I47" s="44">
        <v>2022</v>
      </c>
    </row>
    <row r="48" spans="1:9" x14ac:dyDescent="0.25">
      <c r="A48" s="47" t="str">
        <f t="shared" si="0"/>
        <v>238Marzo2022</v>
      </c>
      <c r="B48" s="44">
        <v>5</v>
      </c>
      <c r="C48" s="44">
        <v>238</v>
      </c>
      <c r="D48" s="51" t="s">
        <v>35</v>
      </c>
      <c r="E48" s="44">
        <v>1295</v>
      </c>
      <c r="F48" s="44">
        <v>1357</v>
      </c>
      <c r="G48" s="52">
        <v>0.95</v>
      </c>
      <c r="H48" s="44" t="s">
        <v>42</v>
      </c>
      <c r="I48" s="44">
        <v>2022</v>
      </c>
    </row>
    <row r="49" spans="1:9" x14ac:dyDescent="0.25">
      <c r="A49" s="47" t="str">
        <f t="shared" si="0"/>
        <v>28745Marzo2022</v>
      </c>
      <c r="B49" s="44">
        <v>6</v>
      </c>
      <c r="C49" s="44">
        <v>28745</v>
      </c>
      <c r="D49" s="51" t="s">
        <v>6</v>
      </c>
      <c r="E49" s="44">
        <v>223</v>
      </c>
      <c r="F49" s="44">
        <v>241</v>
      </c>
      <c r="G49" s="52">
        <v>0.93</v>
      </c>
      <c r="H49" s="44" t="s">
        <v>42</v>
      </c>
      <c r="I49" s="44">
        <v>2022</v>
      </c>
    </row>
    <row r="50" spans="1:9" x14ac:dyDescent="0.25">
      <c r="A50" s="47" t="str">
        <f t="shared" si="0"/>
        <v>11882Marzo2022</v>
      </c>
      <c r="B50" s="44">
        <v>7</v>
      </c>
      <c r="C50" s="44">
        <v>11882</v>
      </c>
      <c r="D50" s="51" t="s">
        <v>22</v>
      </c>
      <c r="E50" s="44">
        <v>1171</v>
      </c>
      <c r="F50" s="44">
        <v>1302</v>
      </c>
      <c r="G50" s="52">
        <v>0.9</v>
      </c>
      <c r="H50" s="44" t="s">
        <v>42</v>
      </c>
      <c r="I50" s="44">
        <v>2022</v>
      </c>
    </row>
    <row r="51" spans="1:9" x14ac:dyDescent="0.25">
      <c r="A51" s="47" t="str">
        <f t="shared" si="0"/>
        <v>235Marzo2022</v>
      </c>
      <c r="B51" s="44">
        <v>8</v>
      </c>
      <c r="C51" s="44">
        <v>235</v>
      </c>
      <c r="D51" s="51" t="s">
        <v>33</v>
      </c>
      <c r="E51" s="44">
        <v>1988</v>
      </c>
      <c r="F51" s="44">
        <v>2203</v>
      </c>
      <c r="G51" s="52">
        <v>0.9</v>
      </c>
      <c r="H51" s="44" t="s">
        <v>42</v>
      </c>
      <c r="I51" s="44">
        <v>2022</v>
      </c>
    </row>
    <row r="52" spans="1:9" x14ac:dyDescent="0.25">
      <c r="A52" s="47" t="str">
        <f t="shared" si="0"/>
        <v>239Marzo2022</v>
      </c>
      <c r="B52" s="44">
        <v>9</v>
      </c>
      <c r="C52" s="44">
        <v>239</v>
      </c>
      <c r="D52" s="51" t="s">
        <v>32</v>
      </c>
      <c r="E52" s="44">
        <v>2704</v>
      </c>
      <c r="F52" s="44">
        <v>3037</v>
      </c>
      <c r="G52" s="52">
        <v>0.89</v>
      </c>
      <c r="H52" s="44" t="s">
        <v>42</v>
      </c>
      <c r="I52" s="44">
        <v>2022</v>
      </c>
    </row>
    <row r="53" spans="1:9" x14ac:dyDescent="0.25">
      <c r="A53" s="47" t="str">
        <f t="shared" si="0"/>
        <v>243Marzo2022</v>
      </c>
      <c r="B53" s="44">
        <v>10</v>
      </c>
      <c r="C53" s="44">
        <v>243</v>
      </c>
      <c r="D53" s="51" t="s">
        <v>34</v>
      </c>
      <c r="E53" s="44">
        <v>2678</v>
      </c>
      <c r="F53" s="44">
        <v>3019</v>
      </c>
      <c r="G53" s="52">
        <v>0.89</v>
      </c>
      <c r="H53" s="44" t="s">
        <v>42</v>
      </c>
      <c r="I53" s="44">
        <v>2022</v>
      </c>
    </row>
    <row r="54" spans="1:9" x14ac:dyDescent="0.25">
      <c r="A54" s="47" t="str">
        <f t="shared" si="0"/>
        <v>236Marzo2022</v>
      </c>
      <c r="B54" s="44">
        <v>11</v>
      </c>
      <c r="C54" s="44">
        <v>236</v>
      </c>
      <c r="D54" s="51" t="s">
        <v>25</v>
      </c>
      <c r="E54" s="44">
        <v>2599</v>
      </c>
      <c r="F54" s="44">
        <v>2972</v>
      </c>
      <c r="G54" s="52">
        <v>0.87</v>
      </c>
      <c r="H54" s="44" t="s">
        <v>42</v>
      </c>
      <c r="I54" s="44">
        <v>2022</v>
      </c>
    </row>
    <row r="55" spans="1:9" x14ac:dyDescent="0.25">
      <c r="A55" s="47" t="str">
        <f t="shared" si="0"/>
        <v>240Marzo2022</v>
      </c>
      <c r="B55" s="44">
        <v>12</v>
      </c>
      <c r="C55" s="44">
        <v>240</v>
      </c>
      <c r="D55" s="51" t="s">
        <v>23</v>
      </c>
      <c r="E55" s="44">
        <v>2785</v>
      </c>
      <c r="F55" s="44">
        <v>3193</v>
      </c>
      <c r="G55" s="52">
        <v>0.87</v>
      </c>
      <c r="H55" s="44" t="s">
        <v>42</v>
      </c>
      <c r="I55" s="44">
        <v>2022</v>
      </c>
    </row>
    <row r="56" spans="1:9" x14ac:dyDescent="0.25">
      <c r="A56" s="47" t="str">
        <f t="shared" si="0"/>
        <v>11931Marzo2022</v>
      </c>
      <c r="B56" s="44">
        <v>13</v>
      </c>
      <c r="C56" s="44">
        <v>11931</v>
      </c>
      <c r="D56" s="51" t="s">
        <v>39</v>
      </c>
      <c r="E56" s="44">
        <v>1859</v>
      </c>
      <c r="F56" s="44">
        <v>2145</v>
      </c>
      <c r="G56" s="52">
        <v>0.87</v>
      </c>
      <c r="H56" s="44" t="s">
        <v>42</v>
      </c>
      <c r="I56" s="44">
        <v>2022</v>
      </c>
    </row>
    <row r="57" spans="1:9" x14ac:dyDescent="0.25">
      <c r="A57" s="47" t="str">
        <f t="shared" si="0"/>
        <v>11116Marzo2022</v>
      </c>
      <c r="B57" s="44">
        <v>14</v>
      </c>
      <c r="C57" s="44">
        <v>11116</v>
      </c>
      <c r="D57" s="51" t="s">
        <v>28</v>
      </c>
      <c r="E57" s="44">
        <v>8156</v>
      </c>
      <c r="F57" s="44">
        <v>9528</v>
      </c>
      <c r="G57" s="52">
        <v>0.86</v>
      </c>
      <c r="H57" s="44" t="s">
        <v>42</v>
      </c>
      <c r="I57" s="44">
        <v>2022</v>
      </c>
    </row>
    <row r="58" spans="1:9" x14ac:dyDescent="0.25">
      <c r="A58" s="47" t="str">
        <f t="shared" si="0"/>
        <v>11799Marzo2022</v>
      </c>
      <c r="B58" s="44">
        <v>15</v>
      </c>
      <c r="C58" s="44">
        <v>11799</v>
      </c>
      <c r="D58" s="51" t="s">
        <v>21</v>
      </c>
      <c r="E58" s="44">
        <v>1137</v>
      </c>
      <c r="F58" s="44">
        <v>1380</v>
      </c>
      <c r="G58" s="52">
        <v>0.82</v>
      </c>
      <c r="H58" s="44" t="s">
        <v>42</v>
      </c>
      <c r="I58" s="44">
        <v>2022</v>
      </c>
    </row>
    <row r="59" spans="1:9" x14ac:dyDescent="0.25">
      <c r="A59" s="47" t="str">
        <f t="shared" si="0"/>
        <v>237Marzo2022</v>
      </c>
      <c r="B59" s="44">
        <v>16</v>
      </c>
      <c r="C59" s="44">
        <v>237</v>
      </c>
      <c r="D59" s="51" t="s">
        <v>31</v>
      </c>
      <c r="E59" s="44">
        <v>2475</v>
      </c>
      <c r="F59" s="44">
        <v>3090</v>
      </c>
      <c r="G59" s="52">
        <v>0.8</v>
      </c>
      <c r="H59" s="44" t="s">
        <v>42</v>
      </c>
      <c r="I59" s="44">
        <v>2022</v>
      </c>
    </row>
    <row r="60" spans="1:9" x14ac:dyDescent="0.25">
      <c r="A60" s="47" t="str">
        <f t="shared" si="0"/>
        <v>10904Marzo2022</v>
      </c>
      <c r="B60" s="44">
        <v>17</v>
      </c>
      <c r="C60" s="44">
        <v>10904</v>
      </c>
      <c r="D60" s="51" t="s">
        <v>29</v>
      </c>
      <c r="E60" s="44">
        <v>838</v>
      </c>
      <c r="F60" s="44">
        <v>1154</v>
      </c>
      <c r="G60" s="52">
        <v>0.73</v>
      </c>
      <c r="H60" s="44" t="s">
        <v>42</v>
      </c>
      <c r="I60" s="44">
        <v>2022</v>
      </c>
    </row>
    <row r="61" spans="1:9" x14ac:dyDescent="0.25">
      <c r="A61" s="47" t="str">
        <f t="shared" si="0"/>
        <v>241Marzo2022</v>
      </c>
      <c r="B61" s="44">
        <v>18</v>
      </c>
      <c r="C61" s="44">
        <v>241</v>
      </c>
      <c r="D61" s="51" t="s">
        <v>30</v>
      </c>
      <c r="E61" s="44">
        <v>1365</v>
      </c>
      <c r="F61" s="44">
        <v>1888</v>
      </c>
      <c r="G61" s="52">
        <v>0.72</v>
      </c>
      <c r="H61" s="44" t="s">
        <v>42</v>
      </c>
      <c r="I61" s="44">
        <v>2022</v>
      </c>
    </row>
    <row r="62" spans="1:9" x14ac:dyDescent="0.25">
      <c r="A62" s="47" t="str">
        <f t="shared" si="0"/>
        <v>242Marzo2022</v>
      </c>
      <c r="B62" s="44">
        <v>19</v>
      </c>
      <c r="C62" s="44">
        <v>242</v>
      </c>
      <c r="D62" s="51" t="s">
        <v>7</v>
      </c>
      <c r="E62" s="44">
        <v>1998</v>
      </c>
      <c r="F62" s="44">
        <v>2901</v>
      </c>
      <c r="G62" s="52">
        <v>0.69</v>
      </c>
      <c r="H62" s="44" t="s">
        <v>42</v>
      </c>
      <c r="I62" s="44">
        <v>2022</v>
      </c>
    </row>
    <row r="63" spans="1:9" x14ac:dyDescent="0.25">
      <c r="A63" s="47" t="str">
        <f t="shared" si="0"/>
        <v>246Marzo2022</v>
      </c>
      <c r="B63" s="44">
        <v>20</v>
      </c>
      <c r="C63" s="44">
        <v>246</v>
      </c>
      <c r="D63" s="51" t="s">
        <v>9</v>
      </c>
      <c r="E63" s="44">
        <v>1735</v>
      </c>
      <c r="F63" s="44">
        <v>2735</v>
      </c>
      <c r="G63" s="52">
        <v>0.63</v>
      </c>
      <c r="H63" s="44" t="s">
        <v>42</v>
      </c>
      <c r="I63" s="44">
        <v>2022</v>
      </c>
    </row>
    <row r="64" spans="1:9" x14ac:dyDescent="0.25">
      <c r="A64" s="47" t="str">
        <f t="shared" si="0"/>
        <v>234Marzo2022</v>
      </c>
      <c r="B64" s="44">
        <v>21</v>
      </c>
      <c r="C64" s="44">
        <v>234</v>
      </c>
      <c r="D64" s="51" t="s">
        <v>18</v>
      </c>
      <c r="E64" s="44">
        <v>2566</v>
      </c>
      <c r="F64" s="44">
        <v>4610</v>
      </c>
      <c r="G64" s="52">
        <v>0.56000000000000005</v>
      </c>
      <c r="H64" s="44" t="s">
        <v>42</v>
      </c>
      <c r="I64" s="44">
        <v>2022</v>
      </c>
    </row>
    <row r="65" spans="1:9" x14ac:dyDescent="0.25">
      <c r="A65" s="47" t="str">
        <f t="shared" si="0"/>
        <v>1557Abril2022</v>
      </c>
      <c r="B65" s="44">
        <v>1</v>
      </c>
      <c r="C65" s="44">
        <v>1557</v>
      </c>
      <c r="D65" s="51" t="s">
        <v>12</v>
      </c>
      <c r="E65" s="44">
        <v>1798</v>
      </c>
      <c r="F65" s="44">
        <v>1812</v>
      </c>
      <c r="G65" s="52">
        <v>0.99</v>
      </c>
      <c r="H65" s="44" t="s">
        <v>43</v>
      </c>
      <c r="I65" s="44">
        <v>2022</v>
      </c>
    </row>
    <row r="66" spans="1:9" x14ac:dyDescent="0.25">
      <c r="A66" s="47" t="str">
        <f t="shared" ref="A66:A129" si="1">C66&amp;H66&amp;I66</f>
        <v>10951Abril2022</v>
      </c>
      <c r="B66" s="44">
        <v>2</v>
      </c>
      <c r="C66" s="44">
        <v>10951</v>
      </c>
      <c r="D66" s="51" t="s">
        <v>24</v>
      </c>
      <c r="E66" s="44">
        <v>1382</v>
      </c>
      <c r="F66" s="44">
        <v>1444</v>
      </c>
      <c r="G66" s="52">
        <v>0.96</v>
      </c>
      <c r="H66" s="44" t="s">
        <v>43</v>
      </c>
      <c r="I66" s="44">
        <v>2022</v>
      </c>
    </row>
    <row r="67" spans="1:9" x14ac:dyDescent="0.25">
      <c r="A67" s="47" t="str">
        <f t="shared" si="1"/>
        <v>11117Abril2022</v>
      </c>
      <c r="B67" s="44">
        <v>3</v>
      </c>
      <c r="C67" s="44">
        <v>11117</v>
      </c>
      <c r="D67" s="51" t="s">
        <v>15</v>
      </c>
      <c r="E67" s="44">
        <v>7472</v>
      </c>
      <c r="F67" s="44">
        <v>7895</v>
      </c>
      <c r="G67" s="52">
        <v>0.95</v>
      </c>
      <c r="H67" s="44" t="s">
        <v>43</v>
      </c>
      <c r="I67" s="44">
        <v>2022</v>
      </c>
    </row>
    <row r="68" spans="1:9" x14ac:dyDescent="0.25">
      <c r="A68" s="47" t="str">
        <f t="shared" si="1"/>
        <v>233Abril2022</v>
      </c>
      <c r="B68" s="44">
        <v>4</v>
      </c>
      <c r="C68" s="44">
        <v>233</v>
      </c>
      <c r="D68" s="51" t="s">
        <v>27</v>
      </c>
      <c r="E68" s="44">
        <v>6736</v>
      </c>
      <c r="F68" s="44">
        <v>7143</v>
      </c>
      <c r="G68" s="52">
        <v>0.94</v>
      </c>
      <c r="H68" s="44" t="s">
        <v>43</v>
      </c>
      <c r="I68" s="44">
        <v>2022</v>
      </c>
    </row>
    <row r="69" spans="1:9" x14ac:dyDescent="0.25">
      <c r="A69" s="47" t="str">
        <f t="shared" si="1"/>
        <v>236Abril2022</v>
      </c>
      <c r="B69" s="44">
        <v>5</v>
      </c>
      <c r="C69" s="44">
        <v>236</v>
      </c>
      <c r="D69" s="51" t="s">
        <v>25</v>
      </c>
      <c r="E69" s="44">
        <v>3132</v>
      </c>
      <c r="F69" s="44">
        <v>3328</v>
      </c>
      <c r="G69" s="52">
        <v>0.94</v>
      </c>
      <c r="H69" s="44" t="s">
        <v>43</v>
      </c>
      <c r="I69" s="44">
        <v>2022</v>
      </c>
    </row>
    <row r="70" spans="1:9" x14ac:dyDescent="0.25">
      <c r="A70" s="47" t="str">
        <f t="shared" si="1"/>
        <v>28745Abril2022</v>
      </c>
      <c r="B70" s="44">
        <v>6</v>
      </c>
      <c r="C70" s="44">
        <v>28745</v>
      </c>
      <c r="D70" s="51" t="s">
        <v>6</v>
      </c>
      <c r="E70" s="44">
        <v>46</v>
      </c>
      <c r="F70" s="44">
        <v>49</v>
      </c>
      <c r="G70" s="52">
        <v>0.94</v>
      </c>
      <c r="H70" s="44" t="s">
        <v>43</v>
      </c>
      <c r="I70" s="44">
        <v>2022</v>
      </c>
    </row>
    <row r="71" spans="1:9" x14ac:dyDescent="0.25">
      <c r="A71" s="47" t="str">
        <f t="shared" si="1"/>
        <v>238Abril2022</v>
      </c>
      <c r="B71" s="44">
        <v>7</v>
      </c>
      <c r="C71" s="44">
        <v>238</v>
      </c>
      <c r="D71" s="51" t="s">
        <v>35</v>
      </c>
      <c r="E71" s="44">
        <v>1872</v>
      </c>
      <c r="F71" s="44">
        <v>2095</v>
      </c>
      <c r="G71" s="52">
        <v>0.89</v>
      </c>
      <c r="H71" s="44" t="s">
        <v>43</v>
      </c>
      <c r="I71" s="44">
        <v>2022</v>
      </c>
    </row>
    <row r="72" spans="1:9" x14ac:dyDescent="0.25">
      <c r="A72" s="47" t="str">
        <f t="shared" si="1"/>
        <v>11882Abril2022</v>
      </c>
      <c r="B72" s="44">
        <v>8</v>
      </c>
      <c r="C72" s="44">
        <v>11882</v>
      </c>
      <c r="D72" s="51" t="s">
        <v>22</v>
      </c>
      <c r="E72" s="44">
        <v>986</v>
      </c>
      <c r="F72" s="44">
        <v>1120</v>
      </c>
      <c r="G72" s="52">
        <v>0.88</v>
      </c>
      <c r="H72" s="44" t="s">
        <v>43</v>
      </c>
      <c r="I72" s="44">
        <v>2022</v>
      </c>
    </row>
    <row r="73" spans="1:9" x14ac:dyDescent="0.25">
      <c r="A73" s="47" t="str">
        <f t="shared" si="1"/>
        <v>11116Abril2022</v>
      </c>
      <c r="B73" s="44">
        <v>9</v>
      </c>
      <c r="C73" s="44">
        <v>11116</v>
      </c>
      <c r="D73" s="51" t="s">
        <v>28</v>
      </c>
      <c r="E73" s="44">
        <v>6820</v>
      </c>
      <c r="F73" s="44">
        <v>7931</v>
      </c>
      <c r="G73" s="52">
        <v>0.86</v>
      </c>
      <c r="H73" s="44" t="s">
        <v>43</v>
      </c>
      <c r="I73" s="44">
        <v>2022</v>
      </c>
    </row>
    <row r="74" spans="1:9" x14ac:dyDescent="0.25">
      <c r="A74" s="47" t="str">
        <f t="shared" si="1"/>
        <v>11931Abril2022</v>
      </c>
      <c r="B74" s="44">
        <v>10</v>
      </c>
      <c r="C74" s="44">
        <v>11931</v>
      </c>
      <c r="D74" s="51" t="s">
        <v>26</v>
      </c>
      <c r="E74" s="44">
        <v>2402</v>
      </c>
      <c r="F74" s="44">
        <v>2819</v>
      </c>
      <c r="G74" s="52">
        <v>0.85</v>
      </c>
      <c r="H74" s="44" t="s">
        <v>43</v>
      </c>
      <c r="I74" s="44">
        <v>2022</v>
      </c>
    </row>
    <row r="75" spans="1:9" x14ac:dyDescent="0.25">
      <c r="A75" s="47" t="str">
        <f t="shared" si="1"/>
        <v>11799Abril2022</v>
      </c>
      <c r="B75" s="44">
        <v>11</v>
      </c>
      <c r="C75" s="44">
        <v>11799</v>
      </c>
      <c r="D75" s="51" t="s">
        <v>21</v>
      </c>
      <c r="E75" s="44">
        <v>1150</v>
      </c>
      <c r="F75" s="44">
        <v>1413</v>
      </c>
      <c r="G75" s="52">
        <v>0.81</v>
      </c>
      <c r="H75" s="44" t="s">
        <v>43</v>
      </c>
      <c r="I75" s="44">
        <v>2022</v>
      </c>
    </row>
    <row r="76" spans="1:9" x14ac:dyDescent="0.25">
      <c r="A76" s="47" t="str">
        <f t="shared" si="1"/>
        <v>234Abril2022</v>
      </c>
      <c r="B76" s="44">
        <v>12</v>
      </c>
      <c r="C76" s="44">
        <v>234</v>
      </c>
      <c r="D76" s="51" t="s">
        <v>18</v>
      </c>
      <c r="E76" s="44">
        <v>3150</v>
      </c>
      <c r="F76" s="44">
        <v>3946</v>
      </c>
      <c r="G76" s="52">
        <v>0.8</v>
      </c>
      <c r="H76" s="44" t="s">
        <v>43</v>
      </c>
      <c r="I76" s="44">
        <v>2022</v>
      </c>
    </row>
    <row r="77" spans="1:9" x14ac:dyDescent="0.25">
      <c r="A77" s="47" t="str">
        <f t="shared" si="1"/>
        <v>243Abril2022</v>
      </c>
      <c r="B77" s="44">
        <v>13</v>
      </c>
      <c r="C77" s="44">
        <v>243</v>
      </c>
      <c r="D77" s="51" t="s">
        <v>34</v>
      </c>
      <c r="E77" s="44">
        <v>1773</v>
      </c>
      <c r="F77" s="44">
        <v>2279</v>
      </c>
      <c r="G77" s="52">
        <v>0.78</v>
      </c>
      <c r="H77" s="44" t="s">
        <v>43</v>
      </c>
      <c r="I77" s="44">
        <v>2022</v>
      </c>
    </row>
    <row r="78" spans="1:9" x14ac:dyDescent="0.25">
      <c r="A78" s="47" t="str">
        <f t="shared" si="1"/>
        <v>239Abril2022</v>
      </c>
      <c r="B78" s="44">
        <v>14</v>
      </c>
      <c r="C78" s="44">
        <v>239</v>
      </c>
      <c r="D78" s="51" t="s">
        <v>32</v>
      </c>
      <c r="E78" s="44">
        <v>2379</v>
      </c>
      <c r="F78" s="44">
        <v>3153</v>
      </c>
      <c r="G78" s="52">
        <v>0.75</v>
      </c>
      <c r="H78" s="44" t="s">
        <v>43</v>
      </c>
      <c r="I78" s="44">
        <v>2022</v>
      </c>
    </row>
    <row r="79" spans="1:9" x14ac:dyDescent="0.25">
      <c r="A79" s="47" t="str">
        <f t="shared" si="1"/>
        <v>10904Abril2022</v>
      </c>
      <c r="B79" s="44">
        <v>15</v>
      </c>
      <c r="C79" s="44">
        <v>10904</v>
      </c>
      <c r="D79" s="51" t="s">
        <v>29</v>
      </c>
      <c r="E79" s="44">
        <v>1098</v>
      </c>
      <c r="F79" s="44">
        <v>1519</v>
      </c>
      <c r="G79" s="52">
        <v>0.72</v>
      </c>
      <c r="H79" s="44" t="s">
        <v>43</v>
      </c>
      <c r="I79" s="44">
        <v>2022</v>
      </c>
    </row>
    <row r="80" spans="1:9" x14ac:dyDescent="0.25">
      <c r="A80" s="47" t="str">
        <f t="shared" si="1"/>
        <v>240Abril2022</v>
      </c>
      <c r="B80" s="44">
        <v>16</v>
      </c>
      <c r="C80" s="44">
        <v>240</v>
      </c>
      <c r="D80" s="51" t="s">
        <v>23</v>
      </c>
      <c r="E80" s="44">
        <v>1533</v>
      </c>
      <c r="F80" s="44">
        <v>2229</v>
      </c>
      <c r="G80" s="52">
        <v>0.69</v>
      </c>
      <c r="H80" s="44" t="s">
        <v>43</v>
      </c>
      <c r="I80" s="44">
        <v>2022</v>
      </c>
    </row>
    <row r="81" spans="1:9" x14ac:dyDescent="0.25">
      <c r="A81" s="47" t="str">
        <f t="shared" si="1"/>
        <v>241Abril2022</v>
      </c>
      <c r="B81" s="44">
        <v>17</v>
      </c>
      <c r="C81" s="44">
        <v>241</v>
      </c>
      <c r="D81" s="51" t="s">
        <v>30</v>
      </c>
      <c r="E81" s="44">
        <v>1574</v>
      </c>
      <c r="F81" s="44">
        <v>2449</v>
      </c>
      <c r="G81" s="52">
        <v>0.64</v>
      </c>
      <c r="H81" s="44" t="s">
        <v>43</v>
      </c>
      <c r="I81" s="44">
        <v>2022</v>
      </c>
    </row>
    <row r="82" spans="1:9" x14ac:dyDescent="0.25">
      <c r="A82" s="47" t="str">
        <f t="shared" si="1"/>
        <v>235Abril2022</v>
      </c>
      <c r="B82" s="44">
        <v>18</v>
      </c>
      <c r="C82" s="44">
        <v>235</v>
      </c>
      <c r="D82" s="51" t="s">
        <v>33</v>
      </c>
      <c r="E82" s="44">
        <v>1371</v>
      </c>
      <c r="F82" s="44">
        <v>2335</v>
      </c>
      <c r="G82" s="52">
        <v>0.59</v>
      </c>
      <c r="H82" s="44" t="s">
        <v>43</v>
      </c>
      <c r="I82" s="44">
        <v>2022</v>
      </c>
    </row>
    <row r="83" spans="1:9" x14ac:dyDescent="0.25">
      <c r="A83" s="47" t="str">
        <f t="shared" si="1"/>
        <v>237Abril2022</v>
      </c>
      <c r="B83" s="44">
        <v>19</v>
      </c>
      <c r="C83" s="44">
        <v>237</v>
      </c>
      <c r="D83" s="51" t="s">
        <v>31</v>
      </c>
      <c r="E83" s="44">
        <v>1216</v>
      </c>
      <c r="F83" s="44">
        <v>2206</v>
      </c>
      <c r="G83" s="52">
        <v>0.55000000000000004</v>
      </c>
      <c r="H83" s="44" t="s">
        <v>43</v>
      </c>
      <c r="I83" s="44">
        <v>2022</v>
      </c>
    </row>
    <row r="84" spans="1:9" x14ac:dyDescent="0.25">
      <c r="A84" s="47" t="str">
        <f t="shared" si="1"/>
        <v>246Abril2022</v>
      </c>
      <c r="B84" s="44">
        <v>20</v>
      </c>
      <c r="C84" s="44">
        <v>246</v>
      </c>
      <c r="D84" s="51" t="s">
        <v>9</v>
      </c>
      <c r="E84" s="44">
        <v>1383</v>
      </c>
      <c r="F84" s="44">
        <v>2942</v>
      </c>
      <c r="G84" s="52">
        <v>0.47</v>
      </c>
      <c r="H84" s="44" t="s">
        <v>43</v>
      </c>
      <c r="I84" s="44">
        <v>2022</v>
      </c>
    </row>
    <row r="85" spans="1:9" x14ac:dyDescent="0.25">
      <c r="A85" s="47" t="str">
        <f t="shared" si="1"/>
        <v>242Abril2022</v>
      </c>
      <c r="B85" s="44">
        <v>21</v>
      </c>
      <c r="C85" s="44">
        <v>242</v>
      </c>
      <c r="D85" s="51" t="s">
        <v>7</v>
      </c>
      <c r="E85" s="44">
        <v>711</v>
      </c>
      <c r="F85" s="44">
        <v>1806</v>
      </c>
      <c r="G85" s="52">
        <v>0.39</v>
      </c>
      <c r="H85" s="44" t="s">
        <v>43</v>
      </c>
      <c r="I85" s="44">
        <v>2022</v>
      </c>
    </row>
    <row r="86" spans="1:9" x14ac:dyDescent="0.25">
      <c r="A86" s="47" t="str">
        <f t="shared" si="1"/>
        <v>10951Mayo2022</v>
      </c>
      <c r="B86" s="44">
        <v>1</v>
      </c>
      <c r="C86" s="44">
        <v>10951</v>
      </c>
      <c r="D86" s="51" t="s">
        <v>24</v>
      </c>
      <c r="E86" s="44">
        <v>1776</v>
      </c>
      <c r="F86" s="44">
        <v>1827</v>
      </c>
      <c r="G86" s="52">
        <v>0.97</v>
      </c>
      <c r="H86" s="44" t="s">
        <v>44</v>
      </c>
      <c r="I86" s="44">
        <v>2022</v>
      </c>
    </row>
    <row r="87" spans="1:9" x14ac:dyDescent="0.25">
      <c r="A87" s="47" t="str">
        <f t="shared" si="1"/>
        <v>236Mayo2022</v>
      </c>
      <c r="B87" s="44">
        <v>2</v>
      </c>
      <c r="C87" s="44">
        <v>236</v>
      </c>
      <c r="D87" s="51" t="s">
        <v>25</v>
      </c>
      <c r="E87" s="44">
        <v>5579</v>
      </c>
      <c r="F87" s="44">
        <v>5746</v>
      </c>
      <c r="G87" s="52">
        <v>0.97</v>
      </c>
      <c r="H87" s="44" t="s">
        <v>44</v>
      </c>
      <c r="I87" s="44">
        <v>2022</v>
      </c>
    </row>
    <row r="88" spans="1:9" x14ac:dyDescent="0.25">
      <c r="A88" s="47" t="str">
        <f t="shared" si="1"/>
        <v>11117Mayo2022</v>
      </c>
      <c r="B88" s="44">
        <v>3</v>
      </c>
      <c r="C88" s="44">
        <v>11117</v>
      </c>
      <c r="D88" s="51" t="s">
        <v>15</v>
      </c>
      <c r="E88" s="44">
        <v>10729</v>
      </c>
      <c r="F88" s="44">
        <v>11134</v>
      </c>
      <c r="G88" s="52">
        <v>0.96</v>
      </c>
      <c r="H88" s="44" t="s">
        <v>44</v>
      </c>
      <c r="I88" s="44">
        <v>2022</v>
      </c>
    </row>
    <row r="89" spans="1:9" x14ac:dyDescent="0.25">
      <c r="A89" s="47" t="str">
        <f t="shared" si="1"/>
        <v>1557Mayo2022</v>
      </c>
      <c r="B89" s="44">
        <v>4</v>
      </c>
      <c r="C89" s="44">
        <v>1557</v>
      </c>
      <c r="D89" s="51" t="s">
        <v>12</v>
      </c>
      <c r="E89" s="44">
        <v>1747</v>
      </c>
      <c r="F89" s="44">
        <v>1853</v>
      </c>
      <c r="G89" s="52">
        <v>0.94</v>
      </c>
      <c r="H89" s="44" t="s">
        <v>44</v>
      </c>
      <c r="I89" s="44">
        <v>2022</v>
      </c>
    </row>
    <row r="90" spans="1:9" x14ac:dyDescent="0.25">
      <c r="A90" s="47" t="str">
        <f t="shared" si="1"/>
        <v>240Mayo2022</v>
      </c>
      <c r="B90" s="44">
        <v>5</v>
      </c>
      <c r="C90" s="44">
        <v>240</v>
      </c>
      <c r="D90" s="51" t="s">
        <v>23</v>
      </c>
      <c r="E90" s="44">
        <v>2686</v>
      </c>
      <c r="F90" s="44">
        <v>2896</v>
      </c>
      <c r="G90" s="52">
        <v>0.93</v>
      </c>
      <c r="H90" s="44" t="s">
        <v>44</v>
      </c>
      <c r="I90" s="44">
        <v>2022</v>
      </c>
    </row>
    <row r="91" spans="1:9" x14ac:dyDescent="0.25">
      <c r="A91" s="47" t="str">
        <f t="shared" si="1"/>
        <v>11882Mayo2022</v>
      </c>
      <c r="B91" s="44">
        <v>6</v>
      </c>
      <c r="C91" s="44">
        <v>11882</v>
      </c>
      <c r="D91" s="51" t="s">
        <v>22</v>
      </c>
      <c r="E91" s="44">
        <v>923</v>
      </c>
      <c r="F91" s="44">
        <v>1025</v>
      </c>
      <c r="G91" s="52">
        <v>0.9</v>
      </c>
      <c r="H91" s="44" t="s">
        <v>44</v>
      </c>
      <c r="I91" s="44">
        <v>2022</v>
      </c>
    </row>
    <row r="92" spans="1:9" x14ac:dyDescent="0.25">
      <c r="A92" s="47" t="str">
        <f t="shared" si="1"/>
        <v>234Mayo2022</v>
      </c>
      <c r="B92" s="44">
        <v>7</v>
      </c>
      <c r="C92" s="44">
        <v>234</v>
      </c>
      <c r="D92" s="51" t="s">
        <v>18</v>
      </c>
      <c r="E92" s="44">
        <v>3723</v>
      </c>
      <c r="F92" s="44">
        <v>4218</v>
      </c>
      <c r="G92" s="52">
        <v>0.88</v>
      </c>
      <c r="H92" s="44" t="s">
        <v>44</v>
      </c>
      <c r="I92" s="44">
        <v>2022</v>
      </c>
    </row>
    <row r="93" spans="1:9" x14ac:dyDescent="0.25">
      <c r="A93" s="47" t="str">
        <f t="shared" si="1"/>
        <v>11116Mayo2022</v>
      </c>
      <c r="B93" s="44">
        <v>8</v>
      </c>
      <c r="C93" s="44">
        <v>11116</v>
      </c>
      <c r="D93" s="51" t="s">
        <v>28</v>
      </c>
      <c r="E93" s="44">
        <v>11059</v>
      </c>
      <c r="F93" s="44">
        <v>12708</v>
      </c>
      <c r="G93" s="52">
        <v>0.87</v>
      </c>
      <c r="H93" s="44" t="s">
        <v>44</v>
      </c>
      <c r="I93" s="44">
        <v>2022</v>
      </c>
    </row>
    <row r="94" spans="1:9" x14ac:dyDescent="0.25">
      <c r="A94" s="47" t="str">
        <f t="shared" si="1"/>
        <v>233Mayo2022</v>
      </c>
      <c r="B94" s="44">
        <v>9</v>
      </c>
      <c r="C94" s="44">
        <v>233</v>
      </c>
      <c r="D94" s="51" t="s">
        <v>27</v>
      </c>
      <c r="E94" s="44">
        <v>6840</v>
      </c>
      <c r="F94" s="44">
        <v>7957</v>
      </c>
      <c r="G94" s="52">
        <v>0.86</v>
      </c>
      <c r="H94" s="44" t="s">
        <v>44</v>
      </c>
      <c r="I94" s="44">
        <v>2022</v>
      </c>
    </row>
    <row r="95" spans="1:9" x14ac:dyDescent="0.25">
      <c r="A95" s="47" t="str">
        <f t="shared" si="1"/>
        <v>238Mayo2022</v>
      </c>
      <c r="B95" s="44">
        <v>10</v>
      </c>
      <c r="C95" s="44">
        <v>238</v>
      </c>
      <c r="D95" s="51" t="s">
        <v>35</v>
      </c>
      <c r="E95" s="44">
        <v>1429</v>
      </c>
      <c r="F95" s="44">
        <v>1685</v>
      </c>
      <c r="G95" s="52">
        <v>0.85</v>
      </c>
      <c r="H95" s="44" t="s">
        <v>44</v>
      </c>
      <c r="I95" s="44">
        <v>2022</v>
      </c>
    </row>
    <row r="96" spans="1:9" x14ac:dyDescent="0.25">
      <c r="A96" s="47" t="str">
        <f t="shared" si="1"/>
        <v>11931Mayo2022</v>
      </c>
      <c r="B96" s="44">
        <v>11</v>
      </c>
      <c r="C96" s="44">
        <v>11931</v>
      </c>
      <c r="D96" s="51" t="s">
        <v>26</v>
      </c>
      <c r="E96" s="44">
        <v>2334</v>
      </c>
      <c r="F96" s="44">
        <v>2971</v>
      </c>
      <c r="G96" s="52">
        <v>0.79</v>
      </c>
      <c r="H96" s="44" t="s">
        <v>44</v>
      </c>
      <c r="I96" s="44">
        <v>2022</v>
      </c>
    </row>
    <row r="97" spans="1:9" x14ac:dyDescent="0.25">
      <c r="A97" s="47" t="str">
        <f t="shared" si="1"/>
        <v>11799Mayo2022</v>
      </c>
      <c r="B97" s="44">
        <v>12</v>
      </c>
      <c r="C97" s="44">
        <v>11799</v>
      </c>
      <c r="D97" s="51" t="s">
        <v>21</v>
      </c>
      <c r="E97" s="44">
        <v>853</v>
      </c>
      <c r="F97" s="44">
        <v>1094</v>
      </c>
      <c r="G97" s="52">
        <v>0.78</v>
      </c>
      <c r="H97" s="44" t="s">
        <v>44</v>
      </c>
      <c r="I97" s="44">
        <v>2022</v>
      </c>
    </row>
    <row r="98" spans="1:9" x14ac:dyDescent="0.25">
      <c r="A98" s="47" t="str">
        <f t="shared" si="1"/>
        <v>10904Mayo2022</v>
      </c>
      <c r="B98" s="44">
        <v>13</v>
      </c>
      <c r="C98" s="44">
        <v>10904</v>
      </c>
      <c r="D98" s="51" t="s">
        <v>29</v>
      </c>
      <c r="E98" s="44">
        <v>1136</v>
      </c>
      <c r="F98" s="44">
        <v>1483</v>
      </c>
      <c r="G98" s="52">
        <v>0.77</v>
      </c>
      <c r="H98" s="44" t="s">
        <v>44</v>
      </c>
      <c r="I98" s="44">
        <v>2022</v>
      </c>
    </row>
    <row r="99" spans="1:9" x14ac:dyDescent="0.25">
      <c r="A99" s="47" t="str">
        <f t="shared" si="1"/>
        <v>241Mayo2022</v>
      </c>
      <c r="B99" s="44">
        <v>14</v>
      </c>
      <c r="C99" s="44">
        <v>241</v>
      </c>
      <c r="D99" s="51" t="s">
        <v>30</v>
      </c>
      <c r="E99" s="44">
        <v>1365</v>
      </c>
      <c r="F99" s="44">
        <v>1897</v>
      </c>
      <c r="G99" s="52">
        <v>0.72</v>
      </c>
      <c r="H99" s="44" t="s">
        <v>44</v>
      </c>
      <c r="I99" s="44">
        <v>2022</v>
      </c>
    </row>
    <row r="100" spans="1:9" x14ac:dyDescent="0.25">
      <c r="A100" s="47" t="str">
        <f t="shared" si="1"/>
        <v>239Mayo2022</v>
      </c>
      <c r="B100" s="44">
        <v>15</v>
      </c>
      <c r="C100" s="44">
        <v>239</v>
      </c>
      <c r="D100" s="51" t="s">
        <v>32</v>
      </c>
      <c r="E100" s="44">
        <v>2616</v>
      </c>
      <c r="F100" s="44">
        <v>3718</v>
      </c>
      <c r="G100" s="52">
        <v>0.7</v>
      </c>
      <c r="H100" s="44" t="s">
        <v>44</v>
      </c>
      <c r="I100" s="44">
        <v>2022</v>
      </c>
    </row>
    <row r="101" spans="1:9" x14ac:dyDescent="0.25">
      <c r="A101" s="47" t="str">
        <f t="shared" si="1"/>
        <v>28745Mayo2022</v>
      </c>
      <c r="B101" s="44">
        <v>16</v>
      </c>
      <c r="C101" s="44">
        <v>28745</v>
      </c>
      <c r="D101" s="51" t="s">
        <v>6</v>
      </c>
      <c r="E101" s="44">
        <v>210</v>
      </c>
      <c r="F101" s="44">
        <v>337</v>
      </c>
      <c r="G101" s="52">
        <v>0.62</v>
      </c>
      <c r="H101" s="44" t="s">
        <v>44</v>
      </c>
      <c r="I101" s="44">
        <v>2022</v>
      </c>
    </row>
    <row r="102" spans="1:9" x14ac:dyDescent="0.25">
      <c r="A102" s="47" t="str">
        <f t="shared" si="1"/>
        <v>243Mayo2022</v>
      </c>
      <c r="B102" s="44">
        <v>17</v>
      </c>
      <c r="C102" s="44">
        <v>243</v>
      </c>
      <c r="D102" s="51" t="s">
        <v>34</v>
      </c>
      <c r="E102" s="44">
        <v>2020</v>
      </c>
      <c r="F102" s="44">
        <v>3537</v>
      </c>
      <c r="G102" s="52">
        <v>0.56999999999999995</v>
      </c>
      <c r="H102" s="44" t="s">
        <v>44</v>
      </c>
      <c r="I102" s="44">
        <v>2022</v>
      </c>
    </row>
    <row r="103" spans="1:9" x14ac:dyDescent="0.25">
      <c r="A103" s="47" t="str">
        <f t="shared" si="1"/>
        <v>246Mayo2022</v>
      </c>
      <c r="B103" s="44">
        <v>18</v>
      </c>
      <c r="C103" s="44">
        <v>246</v>
      </c>
      <c r="D103" s="51" t="s">
        <v>9</v>
      </c>
      <c r="E103" s="44">
        <v>2291</v>
      </c>
      <c r="F103" s="44">
        <v>3998</v>
      </c>
      <c r="G103" s="52">
        <v>0.56999999999999995</v>
      </c>
      <c r="H103" s="44" t="s">
        <v>44</v>
      </c>
      <c r="I103" s="44">
        <v>2022</v>
      </c>
    </row>
    <row r="104" spans="1:9" x14ac:dyDescent="0.25">
      <c r="A104" s="47" t="str">
        <f t="shared" si="1"/>
        <v>242Mayo2022</v>
      </c>
      <c r="B104" s="44">
        <v>19</v>
      </c>
      <c r="C104" s="44">
        <v>242</v>
      </c>
      <c r="D104" s="51" t="s">
        <v>7</v>
      </c>
      <c r="E104" s="44">
        <v>1726</v>
      </c>
      <c r="F104" s="44">
        <v>3678</v>
      </c>
      <c r="G104" s="52">
        <v>0.47</v>
      </c>
      <c r="H104" s="44" t="s">
        <v>44</v>
      </c>
      <c r="I104" s="44">
        <v>2022</v>
      </c>
    </row>
    <row r="105" spans="1:9" x14ac:dyDescent="0.25">
      <c r="A105" s="47" t="str">
        <f t="shared" si="1"/>
        <v>235Mayo2022</v>
      </c>
      <c r="B105" s="44">
        <v>20</v>
      </c>
      <c r="C105" s="44">
        <v>235</v>
      </c>
      <c r="D105" s="51" t="s">
        <v>33</v>
      </c>
      <c r="E105" s="44">
        <v>1219</v>
      </c>
      <c r="F105" s="44">
        <v>3229</v>
      </c>
      <c r="G105" s="52">
        <v>0.38</v>
      </c>
      <c r="H105" s="44" t="s">
        <v>44</v>
      </c>
      <c r="I105" s="44">
        <v>2022</v>
      </c>
    </row>
    <row r="106" spans="1:9" x14ac:dyDescent="0.25">
      <c r="A106" s="47" t="str">
        <f t="shared" si="1"/>
        <v>237Mayo2022</v>
      </c>
      <c r="B106" s="44">
        <v>21</v>
      </c>
      <c r="C106" s="44">
        <v>237</v>
      </c>
      <c r="D106" s="51" t="s">
        <v>31</v>
      </c>
      <c r="E106" s="44">
        <v>593</v>
      </c>
      <c r="F106" s="44">
        <v>1647</v>
      </c>
      <c r="G106" s="52">
        <v>0.36</v>
      </c>
      <c r="H106" s="44" t="s">
        <v>44</v>
      </c>
      <c r="I106" s="44">
        <v>2022</v>
      </c>
    </row>
    <row r="107" spans="1:9" x14ac:dyDescent="0.25">
      <c r="A107" s="47" t="str">
        <f t="shared" si="1"/>
        <v>236Junio2022</v>
      </c>
      <c r="B107" s="44">
        <v>1</v>
      </c>
      <c r="C107" s="44">
        <v>236</v>
      </c>
      <c r="D107" s="51" t="s">
        <v>25</v>
      </c>
      <c r="E107" s="44">
        <v>2448</v>
      </c>
      <c r="F107" s="44">
        <v>2462</v>
      </c>
      <c r="G107" s="52">
        <v>0.99</v>
      </c>
      <c r="H107" s="44" t="s">
        <v>45</v>
      </c>
      <c r="I107" s="44">
        <v>2022</v>
      </c>
    </row>
    <row r="108" spans="1:9" x14ac:dyDescent="0.25">
      <c r="A108" s="47" t="str">
        <f t="shared" si="1"/>
        <v>11117Junio2022</v>
      </c>
      <c r="B108" s="44">
        <v>2</v>
      </c>
      <c r="C108" s="44">
        <v>11117</v>
      </c>
      <c r="D108" s="51" t="s">
        <v>15</v>
      </c>
      <c r="E108" s="44">
        <v>7869</v>
      </c>
      <c r="F108" s="44">
        <v>8103</v>
      </c>
      <c r="G108" s="52">
        <v>0.97</v>
      </c>
      <c r="H108" s="44" t="s">
        <v>45</v>
      </c>
      <c r="I108" s="44">
        <v>2022</v>
      </c>
    </row>
    <row r="109" spans="1:9" x14ac:dyDescent="0.25">
      <c r="A109" s="47" t="str">
        <f t="shared" si="1"/>
        <v>1557Junio2022</v>
      </c>
      <c r="B109" s="44">
        <v>3</v>
      </c>
      <c r="C109" s="44">
        <v>1557</v>
      </c>
      <c r="D109" s="51" t="s">
        <v>12</v>
      </c>
      <c r="E109" s="44">
        <v>1246</v>
      </c>
      <c r="F109" s="44">
        <v>1315</v>
      </c>
      <c r="G109" s="52">
        <v>0.95</v>
      </c>
      <c r="H109" s="44" t="s">
        <v>45</v>
      </c>
      <c r="I109" s="44">
        <v>2022</v>
      </c>
    </row>
    <row r="110" spans="1:9" x14ac:dyDescent="0.25">
      <c r="A110" s="47" t="str">
        <f t="shared" si="1"/>
        <v>11882Junio2022</v>
      </c>
      <c r="B110" s="44">
        <v>4</v>
      </c>
      <c r="C110" s="44">
        <v>11882</v>
      </c>
      <c r="D110" s="51" t="s">
        <v>22</v>
      </c>
      <c r="E110" s="44">
        <v>855</v>
      </c>
      <c r="F110" s="44">
        <v>907</v>
      </c>
      <c r="G110" s="52">
        <v>0.94</v>
      </c>
      <c r="H110" s="44" t="s">
        <v>45</v>
      </c>
      <c r="I110" s="44">
        <v>2022</v>
      </c>
    </row>
    <row r="111" spans="1:9" x14ac:dyDescent="0.25">
      <c r="A111" s="47" t="str">
        <f t="shared" si="1"/>
        <v>10951Junio2022</v>
      </c>
      <c r="B111" s="44">
        <v>5</v>
      </c>
      <c r="C111" s="44">
        <v>10951</v>
      </c>
      <c r="D111" s="51" t="s">
        <v>24</v>
      </c>
      <c r="E111" s="44">
        <v>1520</v>
      </c>
      <c r="F111" s="44">
        <v>1629</v>
      </c>
      <c r="G111" s="52">
        <v>0.93</v>
      </c>
      <c r="H111" s="44" t="s">
        <v>45</v>
      </c>
      <c r="I111" s="44">
        <v>2022</v>
      </c>
    </row>
    <row r="112" spans="1:9" x14ac:dyDescent="0.25">
      <c r="A112" s="47" t="str">
        <f t="shared" si="1"/>
        <v>11931Junio2022</v>
      </c>
      <c r="B112" s="44">
        <v>6</v>
      </c>
      <c r="C112" s="44">
        <v>11931</v>
      </c>
      <c r="D112" s="51" t="s">
        <v>26</v>
      </c>
      <c r="E112" s="44">
        <v>1917</v>
      </c>
      <c r="F112" s="44">
        <v>2127</v>
      </c>
      <c r="G112" s="52">
        <v>0.9</v>
      </c>
      <c r="H112" s="44" t="s">
        <v>45</v>
      </c>
      <c r="I112" s="44">
        <v>2022</v>
      </c>
    </row>
    <row r="113" spans="1:9" x14ac:dyDescent="0.25">
      <c r="A113" s="47" t="str">
        <f t="shared" si="1"/>
        <v>240Junio2022</v>
      </c>
      <c r="B113" s="44">
        <v>7</v>
      </c>
      <c r="C113" s="44">
        <v>240</v>
      </c>
      <c r="D113" s="51" t="s">
        <v>23</v>
      </c>
      <c r="E113" s="44">
        <v>2768</v>
      </c>
      <c r="F113" s="44">
        <v>3086</v>
      </c>
      <c r="G113" s="52">
        <v>0.9</v>
      </c>
      <c r="H113" s="44" t="s">
        <v>45</v>
      </c>
      <c r="I113" s="44">
        <v>2022</v>
      </c>
    </row>
    <row r="114" spans="1:9" x14ac:dyDescent="0.25">
      <c r="A114" s="47" t="str">
        <f t="shared" si="1"/>
        <v>11116Junio2022</v>
      </c>
      <c r="B114" s="44">
        <v>8</v>
      </c>
      <c r="C114" s="44">
        <v>11116</v>
      </c>
      <c r="D114" s="51" t="s">
        <v>28</v>
      </c>
      <c r="E114" s="44">
        <v>6231</v>
      </c>
      <c r="F114" s="44">
        <v>7126</v>
      </c>
      <c r="G114" s="52">
        <v>0.87</v>
      </c>
      <c r="H114" s="44" t="s">
        <v>45</v>
      </c>
      <c r="I114" s="44">
        <v>2022</v>
      </c>
    </row>
    <row r="115" spans="1:9" x14ac:dyDescent="0.25">
      <c r="A115" s="47" t="str">
        <f t="shared" si="1"/>
        <v>233Junio2022</v>
      </c>
      <c r="B115" s="44">
        <v>9</v>
      </c>
      <c r="C115" s="44">
        <v>233</v>
      </c>
      <c r="D115" s="51" t="s">
        <v>27</v>
      </c>
      <c r="E115" s="44">
        <v>5352</v>
      </c>
      <c r="F115" s="44">
        <v>6268</v>
      </c>
      <c r="G115" s="52">
        <v>0.85</v>
      </c>
      <c r="H115" s="44" t="s">
        <v>45</v>
      </c>
      <c r="I115" s="44">
        <v>2022</v>
      </c>
    </row>
    <row r="116" spans="1:9" x14ac:dyDescent="0.25">
      <c r="A116" s="47" t="str">
        <f t="shared" si="1"/>
        <v>234Junio2022</v>
      </c>
      <c r="B116" s="44">
        <v>10</v>
      </c>
      <c r="C116" s="44">
        <v>234</v>
      </c>
      <c r="D116" s="51" t="s">
        <v>18</v>
      </c>
      <c r="E116" s="44">
        <v>3474</v>
      </c>
      <c r="F116" s="44">
        <v>4138</v>
      </c>
      <c r="G116" s="52">
        <v>0.84</v>
      </c>
      <c r="H116" s="44" t="s">
        <v>45</v>
      </c>
      <c r="I116" s="44">
        <v>2022</v>
      </c>
    </row>
    <row r="117" spans="1:9" x14ac:dyDescent="0.25">
      <c r="A117" s="47" t="str">
        <f t="shared" si="1"/>
        <v>238Junio2022</v>
      </c>
      <c r="B117" s="44">
        <v>11</v>
      </c>
      <c r="C117" s="44">
        <v>238</v>
      </c>
      <c r="D117" s="51" t="s">
        <v>35</v>
      </c>
      <c r="E117" s="44">
        <v>1628</v>
      </c>
      <c r="F117" s="44">
        <v>1949</v>
      </c>
      <c r="G117" s="52">
        <v>0.84</v>
      </c>
      <c r="H117" s="44" t="s">
        <v>45</v>
      </c>
      <c r="I117" s="44">
        <v>2022</v>
      </c>
    </row>
    <row r="118" spans="1:9" x14ac:dyDescent="0.25">
      <c r="A118" s="47" t="str">
        <f t="shared" si="1"/>
        <v>28745Junio2022</v>
      </c>
      <c r="B118" s="44">
        <v>12</v>
      </c>
      <c r="C118" s="44">
        <v>28745</v>
      </c>
      <c r="D118" s="51" t="s">
        <v>6</v>
      </c>
      <c r="E118" s="44">
        <v>217</v>
      </c>
      <c r="F118" s="44">
        <v>273</v>
      </c>
      <c r="G118" s="52">
        <v>0.79</v>
      </c>
      <c r="H118" s="44" t="s">
        <v>45</v>
      </c>
      <c r="I118" s="44">
        <v>2022</v>
      </c>
    </row>
    <row r="119" spans="1:9" x14ac:dyDescent="0.25">
      <c r="A119" s="47" t="str">
        <f t="shared" si="1"/>
        <v>10904Junio2022</v>
      </c>
      <c r="B119" s="44">
        <v>13</v>
      </c>
      <c r="C119" s="44">
        <v>10904</v>
      </c>
      <c r="D119" s="51" t="s">
        <v>29</v>
      </c>
      <c r="E119" s="44">
        <v>739</v>
      </c>
      <c r="F119" s="44">
        <v>1024</v>
      </c>
      <c r="G119" s="52">
        <v>0.72</v>
      </c>
      <c r="H119" s="44" t="s">
        <v>45</v>
      </c>
      <c r="I119" s="44">
        <v>2022</v>
      </c>
    </row>
    <row r="120" spans="1:9" x14ac:dyDescent="0.25">
      <c r="A120" s="47" t="str">
        <f t="shared" si="1"/>
        <v>11799Junio2022</v>
      </c>
      <c r="B120" s="44">
        <v>14</v>
      </c>
      <c r="C120" s="44">
        <v>11799</v>
      </c>
      <c r="D120" s="51" t="s">
        <v>21</v>
      </c>
      <c r="E120" s="44">
        <v>1057</v>
      </c>
      <c r="F120" s="44">
        <v>1484</v>
      </c>
      <c r="G120" s="52">
        <v>0.71</v>
      </c>
      <c r="H120" s="44" t="s">
        <v>45</v>
      </c>
      <c r="I120" s="44">
        <v>2022</v>
      </c>
    </row>
    <row r="121" spans="1:9" x14ac:dyDescent="0.25">
      <c r="A121" s="47" t="str">
        <f t="shared" si="1"/>
        <v>246Junio2022</v>
      </c>
      <c r="B121" s="44">
        <v>15</v>
      </c>
      <c r="C121" s="44">
        <v>246</v>
      </c>
      <c r="D121" s="51" t="s">
        <v>9</v>
      </c>
      <c r="E121" s="44">
        <v>1909</v>
      </c>
      <c r="F121" s="44">
        <v>2782</v>
      </c>
      <c r="G121" s="52">
        <v>0.69</v>
      </c>
      <c r="H121" s="44" t="s">
        <v>45</v>
      </c>
      <c r="I121" s="44">
        <v>2022</v>
      </c>
    </row>
    <row r="122" spans="1:9" x14ac:dyDescent="0.25">
      <c r="A122" s="47" t="str">
        <f t="shared" si="1"/>
        <v>241Junio2022</v>
      </c>
      <c r="B122" s="44">
        <v>16</v>
      </c>
      <c r="C122" s="44">
        <v>241</v>
      </c>
      <c r="D122" s="51" t="s">
        <v>30</v>
      </c>
      <c r="E122" s="44">
        <v>1494</v>
      </c>
      <c r="F122" s="44">
        <v>2285</v>
      </c>
      <c r="G122" s="52">
        <v>0.65</v>
      </c>
      <c r="H122" s="44" t="s">
        <v>45</v>
      </c>
      <c r="I122" s="44">
        <v>2022</v>
      </c>
    </row>
    <row r="123" spans="1:9" x14ac:dyDescent="0.25">
      <c r="A123" s="47" t="str">
        <f t="shared" si="1"/>
        <v>243Junio2022</v>
      </c>
      <c r="B123" s="44">
        <v>17</v>
      </c>
      <c r="C123" s="44">
        <v>243</v>
      </c>
      <c r="D123" s="51" t="s">
        <v>34</v>
      </c>
      <c r="E123" s="44">
        <v>1958</v>
      </c>
      <c r="F123" s="44">
        <v>3223</v>
      </c>
      <c r="G123" s="52">
        <v>0.61</v>
      </c>
      <c r="H123" s="44" t="s">
        <v>45</v>
      </c>
      <c r="I123" s="44">
        <v>2022</v>
      </c>
    </row>
    <row r="124" spans="1:9" x14ac:dyDescent="0.25">
      <c r="A124" s="47" t="str">
        <f t="shared" si="1"/>
        <v>242Junio2022</v>
      </c>
      <c r="B124" s="44">
        <v>18</v>
      </c>
      <c r="C124" s="44">
        <v>242</v>
      </c>
      <c r="D124" s="51" t="s">
        <v>7</v>
      </c>
      <c r="E124" s="44">
        <v>1440</v>
      </c>
      <c r="F124" s="44">
        <v>2713</v>
      </c>
      <c r="G124" s="52">
        <v>0.53</v>
      </c>
      <c r="H124" s="44" t="s">
        <v>45</v>
      </c>
      <c r="I124" s="44">
        <v>2022</v>
      </c>
    </row>
    <row r="125" spans="1:9" x14ac:dyDescent="0.25">
      <c r="A125" s="47" t="str">
        <f t="shared" si="1"/>
        <v>239Junio2022</v>
      </c>
      <c r="B125" s="44">
        <v>19</v>
      </c>
      <c r="C125" s="44">
        <v>239</v>
      </c>
      <c r="D125" s="51" t="s">
        <v>32</v>
      </c>
      <c r="E125" s="44">
        <v>1587</v>
      </c>
      <c r="F125" s="44">
        <v>3365</v>
      </c>
      <c r="G125" s="52">
        <v>0.47</v>
      </c>
      <c r="H125" s="44" t="s">
        <v>45</v>
      </c>
      <c r="I125" s="44">
        <v>2022</v>
      </c>
    </row>
    <row r="126" spans="1:9" x14ac:dyDescent="0.25">
      <c r="A126" s="47" t="str">
        <f t="shared" si="1"/>
        <v>235Junio2022</v>
      </c>
      <c r="B126" s="44">
        <v>20</v>
      </c>
      <c r="C126" s="44">
        <v>235</v>
      </c>
      <c r="D126" s="51" t="s">
        <v>33</v>
      </c>
      <c r="E126" s="44">
        <v>528</v>
      </c>
      <c r="F126" s="44">
        <v>2805</v>
      </c>
      <c r="G126" s="52">
        <v>0.19</v>
      </c>
      <c r="H126" s="44" t="s">
        <v>45</v>
      </c>
      <c r="I126" s="44">
        <v>2022</v>
      </c>
    </row>
    <row r="127" spans="1:9" x14ac:dyDescent="0.25">
      <c r="A127" s="47" t="str">
        <f t="shared" si="1"/>
        <v>237Junio2022</v>
      </c>
      <c r="B127" s="44">
        <v>21</v>
      </c>
      <c r="C127" s="44">
        <v>237</v>
      </c>
      <c r="D127" s="51" t="s">
        <v>31</v>
      </c>
      <c r="E127" s="44">
        <v>284</v>
      </c>
      <c r="F127" s="44">
        <v>1670</v>
      </c>
      <c r="G127" s="52">
        <v>0.17</v>
      </c>
      <c r="H127" s="44" t="s">
        <v>45</v>
      </c>
      <c r="I127" s="44">
        <v>2022</v>
      </c>
    </row>
    <row r="128" spans="1:9" x14ac:dyDescent="0.25">
      <c r="A128" s="47" t="str">
        <f t="shared" si="1"/>
        <v>236Julio2022</v>
      </c>
      <c r="B128" s="44">
        <v>1</v>
      </c>
      <c r="C128" s="44">
        <v>236</v>
      </c>
      <c r="D128" s="51" t="s">
        <v>25</v>
      </c>
      <c r="E128" s="44">
        <v>2284</v>
      </c>
      <c r="F128" s="44">
        <v>2329</v>
      </c>
      <c r="G128" s="52">
        <v>0.98</v>
      </c>
      <c r="H128" s="44" t="s">
        <v>46</v>
      </c>
      <c r="I128" s="44">
        <v>2022</v>
      </c>
    </row>
    <row r="129" spans="1:9" x14ac:dyDescent="0.25">
      <c r="A129" s="47" t="str">
        <f t="shared" si="1"/>
        <v>11117Julio2022</v>
      </c>
      <c r="B129" s="44">
        <v>2</v>
      </c>
      <c r="C129" s="44">
        <v>11117</v>
      </c>
      <c r="D129" s="51" t="s">
        <v>15</v>
      </c>
      <c r="E129" s="44">
        <v>7600</v>
      </c>
      <c r="F129" s="44">
        <v>7816</v>
      </c>
      <c r="G129" s="52">
        <v>0.97</v>
      </c>
      <c r="H129" s="44" t="s">
        <v>46</v>
      </c>
      <c r="I129" s="44">
        <v>2022</v>
      </c>
    </row>
    <row r="130" spans="1:9" x14ac:dyDescent="0.25">
      <c r="A130" s="47" t="str">
        <f t="shared" ref="A130:A193" si="2">C130&amp;H130&amp;I130</f>
        <v>10951Julio2022</v>
      </c>
      <c r="B130" s="44">
        <v>3</v>
      </c>
      <c r="C130" s="44">
        <v>10951</v>
      </c>
      <c r="D130" s="51" t="s">
        <v>24</v>
      </c>
      <c r="E130" s="44">
        <v>1106</v>
      </c>
      <c r="F130" s="44">
        <v>1161</v>
      </c>
      <c r="G130" s="52">
        <v>0.95</v>
      </c>
      <c r="H130" s="44" t="s">
        <v>46</v>
      </c>
      <c r="I130" s="44">
        <v>2022</v>
      </c>
    </row>
    <row r="131" spans="1:9" x14ac:dyDescent="0.25">
      <c r="A131" s="47" t="str">
        <f t="shared" si="2"/>
        <v>1557Julio2022</v>
      </c>
      <c r="B131" s="44">
        <v>4</v>
      </c>
      <c r="C131" s="44">
        <v>1557</v>
      </c>
      <c r="D131" s="51" t="s">
        <v>12</v>
      </c>
      <c r="E131" s="44">
        <v>1068</v>
      </c>
      <c r="F131" s="44">
        <v>1176</v>
      </c>
      <c r="G131" s="52">
        <v>0.91</v>
      </c>
      <c r="H131" s="44" t="s">
        <v>46</v>
      </c>
      <c r="I131" s="44">
        <v>2022</v>
      </c>
    </row>
    <row r="132" spans="1:9" x14ac:dyDescent="0.25">
      <c r="A132" s="47" t="str">
        <f t="shared" si="2"/>
        <v>11931Julio2022</v>
      </c>
      <c r="B132" s="44">
        <v>5</v>
      </c>
      <c r="C132" s="44">
        <v>11931</v>
      </c>
      <c r="D132" s="51" t="s">
        <v>39</v>
      </c>
      <c r="E132" s="44">
        <v>1722</v>
      </c>
      <c r="F132" s="44">
        <v>1891</v>
      </c>
      <c r="G132" s="52">
        <v>0.91</v>
      </c>
      <c r="H132" s="44" t="s">
        <v>46</v>
      </c>
      <c r="I132" s="44">
        <v>2022</v>
      </c>
    </row>
    <row r="133" spans="1:9" x14ac:dyDescent="0.25">
      <c r="A133" s="47" t="str">
        <f t="shared" si="2"/>
        <v>11882Julio2022</v>
      </c>
      <c r="B133" s="44">
        <v>6</v>
      </c>
      <c r="C133" s="44">
        <v>11882</v>
      </c>
      <c r="D133" s="51" t="s">
        <v>22</v>
      </c>
      <c r="E133" s="44">
        <v>773</v>
      </c>
      <c r="F133" s="44">
        <v>861</v>
      </c>
      <c r="G133" s="52">
        <v>0.9</v>
      </c>
      <c r="H133" s="44" t="s">
        <v>46</v>
      </c>
      <c r="I133" s="44">
        <v>2022</v>
      </c>
    </row>
    <row r="134" spans="1:9" x14ac:dyDescent="0.25">
      <c r="A134" s="47" t="str">
        <f t="shared" si="2"/>
        <v>234Julio2022</v>
      </c>
      <c r="B134" s="44">
        <v>7</v>
      </c>
      <c r="C134" s="44">
        <v>234</v>
      </c>
      <c r="D134" s="51" t="s">
        <v>18</v>
      </c>
      <c r="E134" s="44">
        <v>2921</v>
      </c>
      <c r="F134" s="44">
        <v>3384</v>
      </c>
      <c r="G134" s="52">
        <v>0.86</v>
      </c>
      <c r="H134" s="44" t="s">
        <v>46</v>
      </c>
      <c r="I134" s="44">
        <v>2022</v>
      </c>
    </row>
    <row r="135" spans="1:9" x14ac:dyDescent="0.25">
      <c r="A135" s="47" t="str">
        <f t="shared" si="2"/>
        <v>11116Julio2022</v>
      </c>
      <c r="B135" s="44">
        <v>8</v>
      </c>
      <c r="C135" s="44">
        <v>11116</v>
      </c>
      <c r="D135" s="51" t="s">
        <v>28</v>
      </c>
      <c r="E135" s="44">
        <v>6464</v>
      </c>
      <c r="F135" s="44">
        <v>7614</v>
      </c>
      <c r="G135" s="52">
        <v>0.85</v>
      </c>
      <c r="H135" s="44" t="s">
        <v>46</v>
      </c>
      <c r="I135" s="44">
        <v>2022</v>
      </c>
    </row>
    <row r="136" spans="1:9" x14ac:dyDescent="0.25">
      <c r="A136" s="47" t="str">
        <f t="shared" si="2"/>
        <v>238Julio2022</v>
      </c>
      <c r="B136" s="44">
        <v>9</v>
      </c>
      <c r="C136" s="44">
        <v>238</v>
      </c>
      <c r="D136" s="51" t="s">
        <v>35</v>
      </c>
      <c r="E136" s="44">
        <v>923</v>
      </c>
      <c r="F136" s="44">
        <v>1098</v>
      </c>
      <c r="G136" s="52">
        <v>0.84</v>
      </c>
      <c r="H136" s="44" t="s">
        <v>46</v>
      </c>
      <c r="I136" s="44">
        <v>2022</v>
      </c>
    </row>
    <row r="137" spans="1:9" x14ac:dyDescent="0.25">
      <c r="A137" s="47" t="str">
        <f t="shared" si="2"/>
        <v>233Julio2022</v>
      </c>
      <c r="B137" s="44">
        <v>10</v>
      </c>
      <c r="C137" s="44">
        <v>233</v>
      </c>
      <c r="D137" s="51" t="s">
        <v>27</v>
      </c>
      <c r="E137" s="44">
        <v>4188</v>
      </c>
      <c r="F137" s="44">
        <v>5192</v>
      </c>
      <c r="G137" s="52">
        <v>0.81</v>
      </c>
      <c r="H137" s="44" t="s">
        <v>46</v>
      </c>
      <c r="I137" s="44">
        <v>2022</v>
      </c>
    </row>
    <row r="138" spans="1:9" x14ac:dyDescent="0.25">
      <c r="A138" s="47" t="str">
        <f t="shared" si="2"/>
        <v>11799Julio2022</v>
      </c>
      <c r="B138" s="44">
        <v>11</v>
      </c>
      <c r="C138" s="44">
        <v>11799</v>
      </c>
      <c r="D138" s="51" t="s">
        <v>21</v>
      </c>
      <c r="E138" s="44">
        <v>766</v>
      </c>
      <c r="F138" s="44">
        <v>982</v>
      </c>
      <c r="G138" s="52">
        <v>0.78</v>
      </c>
      <c r="H138" s="44" t="s">
        <v>46</v>
      </c>
      <c r="I138" s="44">
        <v>2022</v>
      </c>
    </row>
    <row r="139" spans="1:9" x14ac:dyDescent="0.25">
      <c r="A139" s="47" t="str">
        <f t="shared" si="2"/>
        <v>241Julio2022</v>
      </c>
      <c r="B139" s="44">
        <v>12</v>
      </c>
      <c r="C139" s="44">
        <v>241</v>
      </c>
      <c r="D139" s="51" t="s">
        <v>30</v>
      </c>
      <c r="E139" s="44">
        <v>1076</v>
      </c>
      <c r="F139" s="44">
        <v>1607</v>
      </c>
      <c r="G139" s="52">
        <v>0.67</v>
      </c>
      <c r="H139" s="44" t="s">
        <v>46</v>
      </c>
      <c r="I139" s="44">
        <v>2022</v>
      </c>
    </row>
    <row r="140" spans="1:9" x14ac:dyDescent="0.25">
      <c r="A140" s="47" t="str">
        <f t="shared" si="2"/>
        <v>28745Julio2022</v>
      </c>
      <c r="B140" s="44">
        <v>13</v>
      </c>
      <c r="C140" s="44">
        <v>28745</v>
      </c>
      <c r="D140" s="51" t="s">
        <v>6</v>
      </c>
      <c r="E140" s="44">
        <v>190</v>
      </c>
      <c r="F140" s="44">
        <v>286</v>
      </c>
      <c r="G140" s="52">
        <v>0.66</v>
      </c>
      <c r="H140" s="44" t="s">
        <v>46</v>
      </c>
      <c r="I140" s="44">
        <v>2022</v>
      </c>
    </row>
    <row r="141" spans="1:9" x14ac:dyDescent="0.25">
      <c r="A141" s="47" t="str">
        <f t="shared" si="2"/>
        <v>240Julio2022</v>
      </c>
      <c r="B141" s="44">
        <v>14</v>
      </c>
      <c r="C141" s="44">
        <v>240</v>
      </c>
      <c r="D141" s="51" t="s">
        <v>23</v>
      </c>
      <c r="E141" s="44">
        <v>1159</v>
      </c>
      <c r="F141" s="44">
        <v>1851</v>
      </c>
      <c r="G141" s="52">
        <v>0.63</v>
      </c>
      <c r="H141" s="44" t="s">
        <v>46</v>
      </c>
      <c r="I141" s="44">
        <v>2022</v>
      </c>
    </row>
    <row r="142" spans="1:9" x14ac:dyDescent="0.25">
      <c r="A142" s="47" t="str">
        <f t="shared" si="2"/>
        <v>10904Julio2022</v>
      </c>
      <c r="B142" s="44">
        <v>15</v>
      </c>
      <c r="C142" s="44">
        <v>10904</v>
      </c>
      <c r="D142" s="51" t="s">
        <v>29</v>
      </c>
      <c r="E142" s="44">
        <v>706</v>
      </c>
      <c r="F142" s="44">
        <v>1163</v>
      </c>
      <c r="G142" s="52">
        <v>0.61</v>
      </c>
      <c r="H142" s="44" t="s">
        <v>46</v>
      </c>
      <c r="I142" s="44">
        <v>2022</v>
      </c>
    </row>
    <row r="143" spans="1:9" x14ac:dyDescent="0.25">
      <c r="A143" s="47" t="str">
        <f t="shared" si="2"/>
        <v>242Julio2022</v>
      </c>
      <c r="B143" s="44">
        <v>16</v>
      </c>
      <c r="C143" s="44">
        <v>242</v>
      </c>
      <c r="D143" s="51" t="s">
        <v>7</v>
      </c>
      <c r="E143" s="44">
        <v>1623</v>
      </c>
      <c r="F143" s="44">
        <v>2666</v>
      </c>
      <c r="G143" s="52">
        <v>0.61</v>
      </c>
      <c r="H143" s="44" t="s">
        <v>46</v>
      </c>
      <c r="I143" s="44">
        <v>2022</v>
      </c>
    </row>
    <row r="144" spans="1:9" x14ac:dyDescent="0.25">
      <c r="A144" s="47" t="str">
        <f t="shared" si="2"/>
        <v>246Julio2022</v>
      </c>
      <c r="B144" s="44">
        <v>17</v>
      </c>
      <c r="C144" s="44">
        <v>246</v>
      </c>
      <c r="D144" s="51" t="s">
        <v>9</v>
      </c>
      <c r="E144" s="44">
        <v>1343</v>
      </c>
      <c r="F144" s="44">
        <v>2193</v>
      </c>
      <c r="G144" s="52">
        <v>0.61</v>
      </c>
      <c r="H144" s="44" t="s">
        <v>46</v>
      </c>
      <c r="I144" s="44">
        <v>2022</v>
      </c>
    </row>
    <row r="145" spans="1:9" x14ac:dyDescent="0.25">
      <c r="A145" s="47" t="str">
        <f t="shared" si="2"/>
        <v>243Julio2022</v>
      </c>
      <c r="B145" s="44">
        <v>18</v>
      </c>
      <c r="C145" s="44">
        <v>243</v>
      </c>
      <c r="D145" s="51" t="s">
        <v>34</v>
      </c>
      <c r="E145" s="44">
        <v>1309</v>
      </c>
      <c r="F145" s="44">
        <v>2538</v>
      </c>
      <c r="G145" s="52">
        <v>0.52</v>
      </c>
      <c r="H145" s="44" t="s">
        <v>46</v>
      </c>
      <c r="I145" s="44">
        <v>2022</v>
      </c>
    </row>
    <row r="146" spans="1:9" x14ac:dyDescent="0.25">
      <c r="A146" s="47" t="str">
        <f t="shared" si="2"/>
        <v>235Julio2022</v>
      </c>
      <c r="B146" s="44">
        <v>19</v>
      </c>
      <c r="C146" s="44">
        <v>235</v>
      </c>
      <c r="D146" s="51" t="s">
        <v>33</v>
      </c>
      <c r="E146" s="44">
        <v>945</v>
      </c>
      <c r="F146" s="44">
        <v>1934</v>
      </c>
      <c r="G146" s="52">
        <v>0.49</v>
      </c>
      <c r="H146" s="44" t="s">
        <v>46</v>
      </c>
      <c r="I146" s="44">
        <v>2022</v>
      </c>
    </row>
    <row r="147" spans="1:9" x14ac:dyDescent="0.25">
      <c r="A147" s="47" t="str">
        <f t="shared" si="2"/>
        <v>239Julio2022</v>
      </c>
      <c r="B147" s="44">
        <v>20</v>
      </c>
      <c r="C147" s="44">
        <v>239</v>
      </c>
      <c r="D147" s="51" t="s">
        <v>32</v>
      </c>
      <c r="E147" s="44">
        <v>1601</v>
      </c>
      <c r="F147" s="44">
        <v>3410</v>
      </c>
      <c r="G147" s="52">
        <v>0.47</v>
      </c>
      <c r="H147" s="44" t="s">
        <v>46</v>
      </c>
      <c r="I147" s="44">
        <v>2022</v>
      </c>
    </row>
    <row r="148" spans="1:9" x14ac:dyDescent="0.25">
      <c r="A148" s="47" t="str">
        <f t="shared" si="2"/>
        <v>237Julio2022</v>
      </c>
      <c r="B148" s="44">
        <v>21</v>
      </c>
      <c r="C148" s="44">
        <v>237</v>
      </c>
      <c r="D148" s="51" t="s">
        <v>31</v>
      </c>
      <c r="E148" s="44">
        <v>522</v>
      </c>
      <c r="F148" s="44">
        <v>3839</v>
      </c>
      <c r="G148" s="52">
        <v>0.14000000000000001</v>
      </c>
      <c r="H148" s="44" t="s">
        <v>46</v>
      </c>
      <c r="I148" s="44">
        <v>2022</v>
      </c>
    </row>
    <row r="149" spans="1:9" x14ac:dyDescent="0.25">
      <c r="A149" s="47" t="str">
        <f t="shared" si="2"/>
        <v>236Agosto2022</v>
      </c>
      <c r="B149" s="44">
        <v>1</v>
      </c>
      <c r="C149" s="44">
        <v>236</v>
      </c>
      <c r="D149" s="51" t="s">
        <v>25</v>
      </c>
      <c r="E149" s="44">
        <v>3069</v>
      </c>
      <c r="F149" s="44">
        <v>3101</v>
      </c>
      <c r="G149" s="52">
        <v>0.99</v>
      </c>
      <c r="H149" s="44" t="s">
        <v>47</v>
      </c>
      <c r="I149" s="44">
        <v>2022</v>
      </c>
    </row>
    <row r="150" spans="1:9" x14ac:dyDescent="0.25">
      <c r="A150" s="47" t="str">
        <f t="shared" si="2"/>
        <v>11117Agosto2022</v>
      </c>
      <c r="B150" s="44">
        <v>2</v>
      </c>
      <c r="C150" s="44">
        <v>11117</v>
      </c>
      <c r="D150" s="51" t="s">
        <v>15</v>
      </c>
      <c r="E150" s="44">
        <v>8222</v>
      </c>
      <c r="F150" s="44">
        <v>8381</v>
      </c>
      <c r="G150" s="52">
        <v>0.98</v>
      </c>
      <c r="H150" s="44" t="s">
        <v>47</v>
      </c>
      <c r="I150" s="44">
        <v>2022</v>
      </c>
    </row>
    <row r="151" spans="1:9" x14ac:dyDescent="0.25">
      <c r="A151" s="47" t="str">
        <f t="shared" si="2"/>
        <v>11882Agosto2022</v>
      </c>
      <c r="B151" s="44">
        <v>3</v>
      </c>
      <c r="C151" s="44">
        <v>11882</v>
      </c>
      <c r="D151" s="51" t="s">
        <v>22</v>
      </c>
      <c r="E151" s="44">
        <v>777</v>
      </c>
      <c r="F151" s="44">
        <v>841</v>
      </c>
      <c r="G151" s="52">
        <v>0.92</v>
      </c>
      <c r="H151" s="44" t="s">
        <v>47</v>
      </c>
      <c r="I151" s="44">
        <v>2022</v>
      </c>
    </row>
    <row r="152" spans="1:9" x14ac:dyDescent="0.25">
      <c r="A152" s="47" t="str">
        <f t="shared" si="2"/>
        <v>10951Agosto2022</v>
      </c>
      <c r="B152" s="44">
        <v>4</v>
      </c>
      <c r="C152" s="44">
        <v>10951</v>
      </c>
      <c r="D152" s="51" t="s">
        <v>24</v>
      </c>
      <c r="E152" s="44">
        <v>1519</v>
      </c>
      <c r="F152" s="44">
        <v>1712</v>
      </c>
      <c r="G152" s="52">
        <v>0.89</v>
      </c>
      <c r="H152" s="44" t="s">
        <v>47</v>
      </c>
      <c r="I152" s="44">
        <v>2022</v>
      </c>
    </row>
    <row r="153" spans="1:9" x14ac:dyDescent="0.25">
      <c r="A153" s="47" t="str">
        <f t="shared" si="2"/>
        <v>11116Agosto2022</v>
      </c>
      <c r="B153" s="44">
        <v>5</v>
      </c>
      <c r="C153" s="44">
        <v>11116</v>
      </c>
      <c r="D153" s="51" t="s">
        <v>28</v>
      </c>
      <c r="E153" s="44">
        <v>6799</v>
      </c>
      <c r="F153" s="44">
        <v>7626</v>
      </c>
      <c r="G153" s="52">
        <v>0.89</v>
      </c>
      <c r="H153" s="44" t="s">
        <v>47</v>
      </c>
      <c r="I153" s="44">
        <v>2022</v>
      </c>
    </row>
    <row r="154" spans="1:9" x14ac:dyDescent="0.25">
      <c r="A154" s="47" t="str">
        <f t="shared" si="2"/>
        <v>11931Agosto2022</v>
      </c>
      <c r="B154" s="44">
        <v>6</v>
      </c>
      <c r="C154" s="44">
        <v>11931</v>
      </c>
      <c r="D154" s="51" t="s">
        <v>39</v>
      </c>
      <c r="E154" s="44">
        <v>1694</v>
      </c>
      <c r="F154" s="44">
        <v>1923</v>
      </c>
      <c r="G154" s="52">
        <v>0.88</v>
      </c>
      <c r="H154" s="44" t="s">
        <v>47</v>
      </c>
      <c r="I154" s="44">
        <v>2022</v>
      </c>
    </row>
    <row r="155" spans="1:9" x14ac:dyDescent="0.25">
      <c r="A155" s="47" t="str">
        <f t="shared" si="2"/>
        <v>234Agosto2022</v>
      </c>
      <c r="B155" s="44">
        <v>7</v>
      </c>
      <c r="C155" s="44">
        <v>234</v>
      </c>
      <c r="D155" s="51" t="s">
        <v>18</v>
      </c>
      <c r="E155" s="44">
        <v>3323</v>
      </c>
      <c r="F155" s="44">
        <v>3814</v>
      </c>
      <c r="G155" s="52">
        <v>0.87</v>
      </c>
      <c r="H155" s="44" t="s">
        <v>47</v>
      </c>
      <c r="I155" s="44">
        <v>2022</v>
      </c>
    </row>
    <row r="156" spans="1:9" x14ac:dyDescent="0.25">
      <c r="A156" s="47" t="str">
        <f t="shared" si="2"/>
        <v>240Agosto2022</v>
      </c>
      <c r="B156" s="44">
        <v>8</v>
      </c>
      <c r="C156" s="44">
        <v>240</v>
      </c>
      <c r="D156" s="51" t="s">
        <v>23</v>
      </c>
      <c r="E156" s="44">
        <v>2303</v>
      </c>
      <c r="F156" s="44">
        <v>2741</v>
      </c>
      <c r="G156" s="52">
        <v>0.84</v>
      </c>
      <c r="H156" s="44" t="s">
        <v>47</v>
      </c>
      <c r="I156" s="44">
        <v>2022</v>
      </c>
    </row>
    <row r="157" spans="1:9" x14ac:dyDescent="0.25">
      <c r="A157" s="47" t="str">
        <f t="shared" si="2"/>
        <v>11799Agosto2022</v>
      </c>
      <c r="B157" s="44">
        <v>9</v>
      </c>
      <c r="C157" s="44">
        <v>11799</v>
      </c>
      <c r="D157" s="51" t="s">
        <v>21</v>
      </c>
      <c r="E157" s="44">
        <v>985</v>
      </c>
      <c r="F157" s="44">
        <v>1233</v>
      </c>
      <c r="G157" s="52">
        <v>0.8</v>
      </c>
      <c r="H157" s="44" t="s">
        <v>47</v>
      </c>
      <c r="I157" s="44">
        <v>2022</v>
      </c>
    </row>
    <row r="158" spans="1:9" x14ac:dyDescent="0.25">
      <c r="A158" s="47" t="str">
        <f t="shared" si="2"/>
        <v>1557Agosto2022</v>
      </c>
      <c r="B158" s="44">
        <v>10</v>
      </c>
      <c r="C158" s="44">
        <v>1557</v>
      </c>
      <c r="D158" s="51" t="s">
        <v>12</v>
      </c>
      <c r="E158" s="44">
        <v>940</v>
      </c>
      <c r="F158" s="44">
        <v>1188</v>
      </c>
      <c r="G158" s="52">
        <v>0.79</v>
      </c>
      <c r="H158" s="44" t="s">
        <v>47</v>
      </c>
      <c r="I158" s="44">
        <v>2022</v>
      </c>
    </row>
    <row r="159" spans="1:9" x14ac:dyDescent="0.25">
      <c r="A159" s="47" t="str">
        <f t="shared" si="2"/>
        <v>238Agosto2022</v>
      </c>
      <c r="B159" s="44">
        <v>11</v>
      </c>
      <c r="C159" s="44">
        <v>238</v>
      </c>
      <c r="D159" s="51" t="s">
        <v>35</v>
      </c>
      <c r="E159" s="44">
        <v>1195</v>
      </c>
      <c r="F159" s="44">
        <v>1589</v>
      </c>
      <c r="G159" s="52">
        <v>0.75</v>
      </c>
      <c r="H159" s="44" t="s">
        <v>47</v>
      </c>
      <c r="I159" s="44">
        <v>2022</v>
      </c>
    </row>
    <row r="160" spans="1:9" x14ac:dyDescent="0.25">
      <c r="A160" s="47" t="str">
        <f t="shared" si="2"/>
        <v>10904Agosto2022</v>
      </c>
      <c r="B160" s="44">
        <v>12</v>
      </c>
      <c r="C160" s="44">
        <v>10904</v>
      </c>
      <c r="D160" s="51" t="s">
        <v>29</v>
      </c>
      <c r="E160" s="44">
        <v>1129</v>
      </c>
      <c r="F160" s="44">
        <v>1681</v>
      </c>
      <c r="G160" s="52">
        <v>0.67</v>
      </c>
      <c r="H160" s="44" t="s">
        <v>47</v>
      </c>
      <c r="I160" s="44">
        <v>2022</v>
      </c>
    </row>
    <row r="161" spans="1:9" x14ac:dyDescent="0.25">
      <c r="A161" s="47" t="str">
        <f t="shared" si="2"/>
        <v>28745Agosto2022</v>
      </c>
      <c r="B161" s="44">
        <v>13</v>
      </c>
      <c r="C161" s="44">
        <v>28745</v>
      </c>
      <c r="D161" s="51" t="s">
        <v>6</v>
      </c>
      <c r="E161" s="44">
        <v>74</v>
      </c>
      <c r="F161" s="44">
        <v>112</v>
      </c>
      <c r="G161" s="52">
        <v>0.66</v>
      </c>
      <c r="H161" s="44" t="s">
        <v>47</v>
      </c>
      <c r="I161" s="44">
        <v>2022</v>
      </c>
    </row>
    <row r="162" spans="1:9" x14ac:dyDescent="0.25">
      <c r="A162" s="47" t="str">
        <f t="shared" si="2"/>
        <v>233Agosto2022</v>
      </c>
      <c r="B162" s="44">
        <v>14</v>
      </c>
      <c r="C162" s="44">
        <v>233</v>
      </c>
      <c r="D162" s="51" t="s">
        <v>27</v>
      </c>
      <c r="E162" s="44">
        <v>4388</v>
      </c>
      <c r="F162" s="44">
        <v>6761</v>
      </c>
      <c r="G162" s="52">
        <v>0.65</v>
      </c>
      <c r="H162" s="44" t="s">
        <v>47</v>
      </c>
      <c r="I162" s="44">
        <v>2022</v>
      </c>
    </row>
    <row r="163" spans="1:9" x14ac:dyDescent="0.25">
      <c r="A163" s="47" t="str">
        <f t="shared" si="2"/>
        <v>241Agosto2022</v>
      </c>
      <c r="B163" s="44">
        <v>15</v>
      </c>
      <c r="C163" s="44">
        <v>241</v>
      </c>
      <c r="D163" s="51" t="s">
        <v>30</v>
      </c>
      <c r="E163" s="44">
        <v>1118</v>
      </c>
      <c r="F163" s="44">
        <v>1743</v>
      </c>
      <c r="G163" s="52">
        <v>0.64</v>
      </c>
      <c r="H163" s="44" t="s">
        <v>47</v>
      </c>
      <c r="I163" s="44">
        <v>2022</v>
      </c>
    </row>
    <row r="164" spans="1:9" x14ac:dyDescent="0.25">
      <c r="A164" s="47" t="str">
        <f t="shared" si="2"/>
        <v>242Agosto2022</v>
      </c>
      <c r="B164" s="44">
        <v>16</v>
      </c>
      <c r="C164" s="44">
        <v>242</v>
      </c>
      <c r="D164" s="51" t="s">
        <v>7</v>
      </c>
      <c r="E164" s="44">
        <v>2359</v>
      </c>
      <c r="F164" s="44">
        <v>3810</v>
      </c>
      <c r="G164" s="52">
        <v>0.62</v>
      </c>
      <c r="H164" s="44" t="s">
        <v>47</v>
      </c>
      <c r="I164" s="44">
        <v>2022</v>
      </c>
    </row>
    <row r="165" spans="1:9" x14ac:dyDescent="0.25">
      <c r="A165" s="47" t="str">
        <f t="shared" si="2"/>
        <v>235Agosto2022</v>
      </c>
      <c r="B165" s="44">
        <v>17</v>
      </c>
      <c r="C165" s="44">
        <v>235</v>
      </c>
      <c r="D165" s="51" t="s">
        <v>33</v>
      </c>
      <c r="E165" s="44">
        <v>1255</v>
      </c>
      <c r="F165" s="44">
        <v>2184</v>
      </c>
      <c r="G165" s="52">
        <v>0.56999999999999995</v>
      </c>
      <c r="H165" s="44" t="s">
        <v>47</v>
      </c>
      <c r="I165" s="44">
        <v>2022</v>
      </c>
    </row>
    <row r="166" spans="1:9" x14ac:dyDescent="0.25">
      <c r="A166" s="47" t="str">
        <f t="shared" si="2"/>
        <v>243Agosto2022</v>
      </c>
      <c r="B166" s="44">
        <v>18</v>
      </c>
      <c r="C166" s="44">
        <v>243</v>
      </c>
      <c r="D166" s="51" t="s">
        <v>34</v>
      </c>
      <c r="E166" s="44">
        <v>1744</v>
      </c>
      <c r="F166" s="44">
        <v>3280</v>
      </c>
      <c r="G166" s="52">
        <v>0.53</v>
      </c>
      <c r="H166" s="44" t="s">
        <v>47</v>
      </c>
      <c r="I166" s="44">
        <v>2022</v>
      </c>
    </row>
    <row r="167" spans="1:9" x14ac:dyDescent="0.25">
      <c r="A167" s="47" t="str">
        <f t="shared" si="2"/>
        <v>246Agosto2022</v>
      </c>
      <c r="B167" s="44">
        <v>19</v>
      </c>
      <c r="C167" s="44">
        <v>246</v>
      </c>
      <c r="D167" s="51" t="s">
        <v>9</v>
      </c>
      <c r="E167" s="44">
        <v>1556</v>
      </c>
      <c r="F167" s="44">
        <v>3012</v>
      </c>
      <c r="G167" s="52">
        <v>0.52</v>
      </c>
      <c r="H167" s="44" t="s">
        <v>47</v>
      </c>
      <c r="I167" s="44">
        <v>2022</v>
      </c>
    </row>
    <row r="168" spans="1:9" x14ac:dyDescent="0.25">
      <c r="A168" s="47" t="str">
        <f t="shared" si="2"/>
        <v>239Agosto2022</v>
      </c>
      <c r="B168" s="44">
        <v>20</v>
      </c>
      <c r="C168" s="44">
        <v>239</v>
      </c>
      <c r="D168" s="51" t="s">
        <v>32</v>
      </c>
      <c r="E168" s="44">
        <v>1673</v>
      </c>
      <c r="F168" s="44">
        <v>3619</v>
      </c>
      <c r="G168" s="52">
        <v>0.46</v>
      </c>
      <c r="H168" s="44" t="s">
        <v>47</v>
      </c>
      <c r="I168" s="44">
        <v>2022</v>
      </c>
    </row>
    <row r="169" spans="1:9" x14ac:dyDescent="0.25">
      <c r="A169" s="47" t="str">
        <f t="shared" si="2"/>
        <v>237Agosto2022</v>
      </c>
      <c r="B169" s="44">
        <v>21</v>
      </c>
      <c r="C169" s="44">
        <v>237</v>
      </c>
      <c r="D169" s="51" t="s">
        <v>31</v>
      </c>
      <c r="E169" s="44">
        <v>797</v>
      </c>
      <c r="F169" s="44">
        <v>4195</v>
      </c>
      <c r="G169" s="52">
        <v>0.19</v>
      </c>
      <c r="H169" s="44" t="s">
        <v>47</v>
      </c>
      <c r="I169" s="44">
        <v>2022</v>
      </c>
    </row>
    <row r="170" spans="1:9" x14ac:dyDescent="0.25">
      <c r="A170" s="47" t="str">
        <f t="shared" si="2"/>
        <v>236Septiembre2022</v>
      </c>
      <c r="B170" s="44">
        <v>1</v>
      </c>
      <c r="C170" s="44">
        <v>236</v>
      </c>
      <c r="D170" s="51" t="s">
        <v>25</v>
      </c>
      <c r="E170" s="44">
        <v>2690</v>
      </c>
      <c r="F170" s="44">
        <v>2717</v>
      </c>
      <c r="G170" s="52">
        <v>0.99</v>
      </c>
      <c r="H170" s="44" t="s">
        <v>48</v>
      </c>
      <c r="I170" s="44">
        <v>2022</v>
      </c>
    </row>
    <row r="171" spans="1:9" x14ac:dyDescent="0.25">
      <c r="A171" s="47" t="str">
        <f t="shared" si="2"/>
        <v>11117Septiembre2022</v>
      </c>
      <c r="B171" s="44">
        <v>2</v>
      </c>
      <c r="C171" s="44">
        <v>11117</v>
      </c>
      <c r="D171" s="51" t="s">
        <v>15</v>
      </c>
      <c r="E171" s="44">
        <v>7493</v>
      </c>
      <c r="F171" s="44">
        <v>7810</v>
      </c>
      <c r="G171" s="52">
        <v>0.96</v>
      </c>
      <c r="H171" s="44" t="s">
        <v>48</v>
      </c>
      <c r="I171" s="44">
        <v>2022</v>
      </c>
    </row>
    <row r="172" spans="1:9" x14ac:dyDescent="0.25">
      <c r="A172" s="47" t="str">
        <f t="shared" si="2"/>
        <v>11799Septiembre2022</v>
      </c>
      <c r="B172" s="44">
        <v>3</v>
      </c>
      <c r="C172" s="44">
        <v>11799</v>
      </c>
      <c r="D172" s="51" t="s">
        <v>21</v>
      </c>
      <c r="E172" s="44">
        <v>977</v>
      </c>
      <c r="F172" s="44">
        <v>1078</v>
      </c>
      <c r="G172" s="52">
        <v>0.91</v>
      </c>
      <c r="H172" s="44" t="s">
        <v>48</v>
      </c>
      <c r="I172" s="44">
        <v>2022</v>
      </c>
    </row>
    <row r="173" spans="1:9" x14ac:dyDescent="0.25">
      <c r="A173" s="47" t="str">
        <f t="shared" si="2"/>
        <v>240Septiembre2022</v>
      </c>
      <c r="B173" s="44">
        <v>4</v>
      </c>
      <c r="C173" s="44">
        <v>240</v>
      </c>
      <c r="D173" s="51" t="s">
        <v>23</v>
      </c>
      <c r="E173" s="44">
        <v>2007</v>
      </c>
      <c r="F173" s="44">
        <v>2260</v>
      </c>
      <c r="G173" s="52">
        <v>0.89</v>
      </c>
      <c r="H173" s="44" t="s">
        <v>48</v>
      </c>
      <c r="I173" s="44">
        <v>2022</v>
      </c>
    </row>
    <row r="174" spans="1:9" x14ac:dyDescent="0.25">
      <c r="A174" s="47" t="str">
        <f t="shared" si="2"/>
        <v>242Septiembre2022</v>
      </c>
      <c r="B174" s="44">
        <v>5</v>
      </c>
      <c r="C174" s="44">
        <v>242</v>
      </c>
      <c r="D174" s="51" t="s">
        <v>7</v>
      </c>
      <c r="E174" s="44">
        <v>2931</v>
      </c>
      <c r="F174" s="44">
        <v>3309</v>
      </c>
      <c r="G174" s="52">
        <v>0.89</v>
      </c>
      <c r="H174" s="44" t="s">
        <v>48</v>
      </c>
      <c r="I174" s="44">
        <v>2022</v>
      </c>
    </row>
    <row r="175" spans="1:9" x14ac:dyDescent="0.25">
      <c r="A175" s="47" t="str">
        <f t="shared" si="2"/>
        <v>234Septiembre2022</v>
      </c>
      <c r="B175" s="44">
        <v>6</v>
      </c>
      <c r="C175" s="44">
        <v>234</v>
      </c>
      <c r="D175" s="51" t="s">
        <v>18</v>
      </c>
      <c r="E175" s="44">
        <v>3215</v>
      </c>
      <c r="F175" s="44">
        <v>3633</v>
      </c>
      <c r="G175" s="52">
        <v>0.88</v>
      </c>
      <c r="H175" s="44" t="s">
        <v>48</v>
      </c>
      <c r="I175" s="44">
        <v>2022</v>
      </c>
    </row>
    <row r="176" spans="1:9" x14ac:dyDescent="0.25">
      <c r="A176" s="47" t="str">
        <f t="shared" si="2"/>
        <v>11931Septiembre2022</v>
      </c>
      <c r="B176" s="44">
        <v>7</v>
      </c>
      <c r="C176" s="44">
        <v>11931</v>
      </c>
      <c r="D176" s="51" t="s">
        <v>39</v>
      </c>
      <c r="E176" s="44">
        <v>1670</v>
      </c>
      <c r="F176" s="44">
        <v>1926</v>
      </c>
      <c r="G176" s="52">
        <v>0.87</v>
      </c>
      <c r="H176" s="44" t="s">
        <v>48</v>
      </c>
      <c r="I176" s="44">
        <v>2022</v>
      </c>
    </row>
    <row r="177" spans="1:9" x14ac:dyDescent="0.25">
      <c r="A177" s="47" t="str">
        <f t="shared" si="2"/>
        <v>11116Septiembre2022</v>
      </c>
      <c r="B177" s="44">
        <v>8</v>
      </c>
      <c r="C177" s="44">
        <v>11116</v>
      </c>
      <c r="D177" s="51" t="s">
        <v>28</v>
      </c>
      <c r="E177" s="44">
        <v>6904</v>
      </c>
      <c r="F177" s="44">
        <v>7991</v>
      </c>
      <c r="G177" s="52">
        <v>0.86</v>
      </c>
      <c r="H177" s="44" t="s">
        <v>48</v>
      </c>
      <c r="I177" s="44">
        <v>2022</v>
      </c>
    </row>
    <row r="178" spans="1:9" x14ac:dyDescent="0.25">
      <c r="A178" s="47" t="str">
        <f t="shared" si="2"/>
        <v>11882Septiembre2022</v>
      </c>
      <c r="B178" s="44">
        <v>9</v>
      </c>
      <c r="C178" s="44">
        <v>11882</v>
      </c>
      <c r="D178" s="51" t="s">
        <v>22</v>
      </c>
      <c r="E178" s="44">
        <v>866</v>
      </c>
      <c r="F178" s="44">
        <v>1004</v>
      </c>
      <c r="G178" s="52">
        <v>0.86</v>
      </c>
      <c r="H178" s="44" t="s">
        <v>48</v>
      </c>
      <c r="I178" s="44">
        <v>2022</v>
      </c>
    </row>
    <row r="179" spans="1:9" x14ac:dyDescent="0.25">
      <c r="A179" s="47" t="str">
        <f t="shared" si="2"/>
        <v>10951Septiembre2022</v>
      </c>
      <c r="B179" s="44">
        <v>10</v>
      </c>
      <c r="C179" s="44">
        <v>10951</v>
      </c>
      <c r="D179" s="51" t="s">
        <v>24</v>
      </c>
      <c r="E179" s="44">
        <v>1183</v>
      </c>
      <c r="F179" s="44">
        <v>1442</v>
      </c>
      <c r="G179" s="52">
        <v>0.82</v>
      </c>
      <c r="H179" s="44" t="s">
        <v>48</v>
      </c>
      <c r="I179" s="44">
        <v>2022</v>
      </c>
    </row>
    <row r="180" spans="1:9" x14ac:dyDescent="0.25">
      <c r="A180" s="47" t="str">
        <f t="shared" si="2"/>
        <v>1557Septiembre2022</v>
      </c>
      <c r="B180" s="44">
        <v>11</v>
      </c>
      <c r="C180" s="44">
        <v>1557</v>
      </c>
      <c r="D180" s="51" t="s">
        <v>12</v>
      </c>
      <c r="E180" s="44">
        <v>923</v>
      </c>
      <c r="F180" s="44">
        <v>1121</v>
      </c>
      <c r="G180" s="52">
        <v>0.82</v>
      </c>
      <c r="H180" s="44" t="s">
        <v>48</v>
      </c>
      <c r="I180" s="44">
        <v>2022</v>
      </c>
    </row>
    <row r="181" spans="1:9" x14ac:dyDescent="0.25">
      <c r="A181" s="47" t="str">
        <f t="shared" si="2"/>
        <v>246Septiembre2022</v>
      </c>
      <c r="B181" s="44">
        <v>12</v>
      </c>
      <c r="C181" s="44">
        <v>246</v>
      </c>
      <c r="D181" s="51" t="s">
        <v>9</v>
      </c>
      <c r="E181" s="44">
        <v>1151</v>
      </c>
      <c r="F181" s="44">
        <v>1471</v>
      </c>
      <c r="G181" s="52">
        <v>0.78</v>
      </c>
      <c r="H181" s="44" t="s">
        <v>48</v>
      </c>
      <c r="I181" s="44">
        <v>2022</v>
      </c>
    </row>
    <row r="182" spans="1:9" x14ac:dyDescent="0.25">
      <c r="A182" s="47" t="str">
        <f t="shared" si="2"/>
        <v>233Septiembre2022</v>
      </c>
      <c r="B182" s="44">
        <v>13</v>
      </c>
      <c r="C182" s="44">
        <v>233</v>
      </c>
      <c r="D182" s="51" t="s">
        <v>27</v>
      </c>
      <c r="E182" s="44">
        <v>4744</v>
      </c>
      <c r="F182" s="44">
        <v>6182</v>
      </c>
      <c r="G182" s="52">
        <v>0.77</v>
      </c>
      <c r="H182" s="44" t="s">
        <v>48</v>
      </c>
      <c r="I182" s="44">
        <v>2022</v>
      </c>
    </row>
    <row r="183" spans="1:9" x14ac:dyDescent="0.25">
      <c r="A183" s="47" t="str">
        <f t="shared" si="2"/>
        <v>241Septiembre2022</v>
      </c>
      <c r="B183" s="44">
        <v>14</v>
      </c>
      <c r="C183" s="44">
        <v>241</v>
      </c>
      <c r="D183" s="51" t="s">
        <v>30</v>
      </c>
      <c r="E183" s="44">
        <v>1750</v>
      </c>
      <c r="F183" s="44">
        <v>2297</v>
      </c>
      <c r="G183" s="52">
        <v>0.76</v>
      </c>
      <c r="H183" s="44" t="s">
        <v>48</v>
      </c>
      <c r="I183" s="44">
        <v>2022</v>
      </c>
    </row>
    <row r="184" spans="1:9" x14ac:dyDescent="0.25">
      <c r="A184" s="47" t="str">
        <f t="shared" si="2"/>
        <v>28745Septiembre2022</v>
      </c>
      <c r="B184" s="44">
        <v>15</v>
      </c>
      <c r="C184" s="44">
        <v>28745</v>
      </c>
      <c r="D184" s="51" t="s">
        <v>6</v>
      </c>
      <c r="E184" s="44">
        <v>103</v>
      </c>
      <c r="F184" s="44">
        <v>136</v>
      </c>
      <c r="G184" s="52">
        <v>0.76</v>
      </c>
      <c r="H184" s="44" t="s">
        <v>48</v>
      </c>
      <c r="I184" s="44">
        <v>2022</v>
      </c>
    </row>
    <row r="185" spans="1:9" x14ac:dyDescent="0.25">
      <c r="A185" s="47" t="str">
        <f t="shared" si="2"/>
        <v>239Septiembre2022</v>
      </c>
      <c r="B185" s="44">
        <v>16</v>
      </c>
      <c r="C185" s="44">
        <v>239</v>
      </c>
      <c r="D185" s="51" t="s">
        <v>32</v>
      </c>
      <c r="E185" s="44">
        <v>2187</v>
      </c>
      <c r="F185" s="44">
        <v>2953</v>
      </c>
      <c r="G185" s="52">
        <v>0.74</v>
      </c>
      <c r="H185" s="44" t="s">
        <v>48</v>
      </c>
      <c r="I185" s="44">
        <v>2022</v>
      </c>
    </row>
    <row r="186" spans="1:9" x14ac:dyDescent="0.25">
      <c r="A186" s="47" t="str">
        <f t="shared" si="2"/>
        <v>10904Septiembre2022</v>
      </c>
      <c r="B186" s="44">
        <v>17</v>
      </c>
      <c r="C186" s="44">
        <v>10904</v>
      </c>
      <c r="D186" s="51" t="s">
        <v>29</v>
      </c>
      <c r="E186" s="44">
        <v>792</v>
      </c>
      <c r="F186" s="44">
        <v>1099</v>
      </c>
      <c r="G186" s="52">
        <v>0.72</v>
      </c>
      <c r="H186" s="44" t="s">
        <v>48</v>
      </c>
      <c r="I186" s="44">
        <v>2022</v>
      </c>
    </row>
    <row r="187" spans="1:9" x14ac:dyDescent="0.25">
      <c r="A187" s="47" t="str">
        <f t="shared" si="2"/>
        <v>243Septiembre2022</v>
      </c>
      <c r="B187" s="44">
        <v>18</v>
      </c>
      <c r="C187" s="44">
        <v>243</v>
      </c>
      <c r="D187" s="51" t="s">
        <v>34</v>
      </c>
      <c r="E187" s="44">
        <v>1629</v>
      </c>
      <c r="F187" s="44">
        <v>2288</v>
      </c>
      <c r="G187" s="52">
        <v>0.71</v>
      </c>
      <c r="H187" s="44" t="s">
        <v>48</v>
      </c>
      <c r="I187" s="44">
        <v>2022</v>
      </c>
    </row>
    <row r="188" spans="1:9" x14ac:dyDescent="0.25">
      <c r="A188" s="47" t="str">
        <f t="shared" si="2"/>
        <v>238Septiembre2022</v>
      </c>
      <c r="B188" s="44">
        <v>19</v>
      </c>
      <c r="C188" s="44">
        <v>238</v>
      </c>
      <c r="D188" s="51" t="s">
        <v>35</v>
      </c>
      <c r="E188" s="44">
        <v>1203</v>
      </c>
      <c r="F188" s="44">
        <v>1759</v>
      </c>
      <c r="G188" s="52">
        <v>0.68</v>
      </c>
      <c r="H188" s="44" t="s">
        <v>48</v>
      </c>
      <c r="I188" s="44">
        <v>2022</v>
      </c>
    </row>
    <row r="189" spans="1:9" x14ac:dyDescent="0.25">
      <c r="A189" s="47" t="str">
        <f t="shared" si="2"/>
        <v>237Septiembre2022</v>
      </c>
      <c r="B189" s="44">
        <v>20</v>
      </c>
      <c r="C189" s="44">
        <v>237</v>
      </c>
      <c r="D189" s="51" t="s">
        <v>31</v>
      </c>
      <c r="E189" s="44">
        <v>2919</v>
      </c>
      <c r="F189" s="44">
        <v>5940</v>
      </c>
      <c r="G189" s="52">
        <v>0.49</v>
      </c>
      <c r="H189" s="44" t="s">
        <v>48</v>
      </c>
      <c r="I189" s="44">
        <v>2022</v>
      </c>
    </row>
    <row r="190" spans="1:9" x14ac:dyDescent="0.25">
      <c r="A190" s="47" t="str">
        <f t="shared" si="2"/>
        <v>235Septiembre2022</v>
      </c>
      <c r="B190" s="44">
        <v>21</v>
      </c>
      <c r="C190" s="44">
        <v>235</v>
      </c>
      <c r="D190" s="51" t="s">
        <v>33</v>
      </c>
      <c r="E190" s="44">
        <v>997</v>
      </c>
      <c r="F190" s="44">
        <v>2326</v>
      </c>
      <c r="G190" s="52">
        <v>0.43</v>
      </c>
      <c r="H190" s="44" t="s">
        <v>48</v>
      </c>
      <c r="I190" s="44">
        <v>2022</v>
      </c>
    </row>
    <row r="191" spans="1:9" x14ac:dyDescent="0.25">
      <c r="A191" s="47" t="str">
        <f t="shared" si="2"/>
        <v>236Octubre2022</v>
      </c>
      <c r="B191" s="44">
        <v>1</v>
      </c>
      <c r="C191" s="44">
        <v>236</v>
      </c>
      <c r="D191" s="51" t="s">
        <v>25</v>
      </c>
      <c r="E191" s="44">
        <v>2192</v>
      </c>
      <c r="F191" s="44">
        <v>2196</v>
      </c>
      <c r="G191" s="52">
        <f t="shared" ref="G191:G222" si="3">E191/F191</f>
        <v>0.99817850637522765</v>
      </c>
      <c r="H191" s="44" t="s">
        <v>49</v>
      </c>
      <c r="I191" s="44">
        <v>2022</v>
      </c>
    </row>
    <row r="192" spans="1:9" x14ac:dyDescent="0.25">
      <c r="A192" s="47" t="str">
        <f t="shared" si="2"/>
        <v>11117Octubre2022</v>
      </c>
      <c r="B192" s="44">
        <v>2</v>
      </c>
      <c r="C192" s="44">
        <v>11117</v>
      </c>
      <c r="D192" s="51" t="s">
        <v>15</v>
      </c>
      <c r="E192" s="44">
        <v>8247</v>
      </c>
      <c r="F192" s="44">
        <v>8477</v>
      </c>
      <c r="G192" s="52">
        <f t="shared" si="3"/>
        <v>0.97286775982069129</v>
      </c>
      <c r="H192" s="44" t="s">
        <v>49</v>
      </c>
      <c r="I192" s="44">
        <v>2022</v>
      </c>
    </row>
    <row r="193" spans="1:9" x14ac:dyDescent="0.25">
      <c r="A193" s="47" t="str">
        <f t="shared" si="2"/>
        <v>242Octubre2022</v>
      </c>
      <c r="B193" s="44">
        <v>3</v>
      </c>
      <c r="C193" s="44">
        <v>242</v>
      </c>
      <c r="D193" s="51" t="s">
        <v>7</v>
      </c>
      <c r="E193" s="44">
        <v>2885</v>
      </c>
      <c r="F193" s="44">
        <v>2967</v>
      </c>
      <c r="G193" s="52">
        <f t="shared" si="3"/>
        <v>0.97236265588136161</v>
      </c>
      <c r="H193" s="44" t="s">
        <v>49</v>
      </c>
      <c r="I193" s="44">
        <v>2022</v>
      </c>
    </row>
    <row r="194" spans="1:9" x14ac:dyDescent="0.25">
      <c r="A194" s="47" t="str">
        <f t="shared" ref="A194:A257" si="4">C194&amp;H194&amp;I194</f>
        <v>10951Octubre2022</v>
      </c>
      <c r="B194" s="44">
        <v>4</v>
      </c>
      <c r="C194" s="44">
        <v>10951</v>
      </c>
      <c r="D194" s="51" t="s">
        <v>24</v>
      </c>
      <c r="E194" s="44">
        <v>1133</v>
      </c>
      <c r="F194" s="44">
        <v>1195</v>
      </c>
      <c r="G194" s="52">
        <f t="shared" si="3"/>
        <v>0.94811715481171543</v>
      </c>
      <c r="H194" s="44" t="s">
        <v>49</v>
      </c>
      <c r="I194" s="44">
        <v>2022</v>
      </c>
    </row>
    <row r="195" spans="1:9" x14ac:dyDescent="0.25">
      <c r="A195" s="47" t="str">
        <f t="shared" si="4"/>
        <v>11799Octubre2022</v>
      </c>
      <c r="B195" s="44">
        <v>5</v>
      </c>
      <c r="C195" s="44">
        <v>11799</v>
      </c>
      <c r="D195" s="51" t="s">
        <v>21</v>
      </c>
      <c r="E195" s="44">
        <v>1379</v>
      </c>
      <c r="F195" s="44">
        <v>1465</v>
      </c>
      <c r="G195" s="52">
        <f t="shared" si="3"/>
        <v>0.941296928327645</v>
      </c>
      <c r="H195" s="44" t="s">
        <v>49</v>
      </c>
      <c r="I195" s="44">
        <v>2022</v>
      </c>
    </row>
    <row r="196" spans="1:9" x14ac:dyDescent="0.25">
      <c r="A196" s="47" t="str">
        <f t="shared" si="4"/>
        <v>234Octubre2022</v>
      </c>
      <c r="B196" s="44">
        <v>6</v>
      </c>
      <c r="C196" s="44">
        <v>234</v>
      </c>
      <c r="D196" s="51" t="s">
        <v>18</v>
      </c>
      <c r="E196" s="44">
        <v>2793</v>
      </c>
      <c r="F196" s="44">
        <v>3057</v>
      </c>
      <c r="G196" s="52">
        <f t="shared" si="3"/>
        <v>0.91364082433758587</v>
      </c>
      <c r="H196" s="44" t="s">
        <v>49</v>
      </c>
      <c r="I196" s="44">
        <v>2022</v>
      </c>
    </row>
    <row r="197" spans="1:9" x14ac:dyDescent="0.25">
      <c r="A197" s="47" t="str">
        <f t="shared" si="4"/>
        <v>11931Octubre2022</v>
      </c>
      <c r="B197" s="44">
        <v>7</v>
      </c>
      <c r="C197" s="44">
        <v>11931</v>
      </c>
      <c r="D197" s="51" t="s">
        <v>39</v>
      </c>
      <c r="E197" s="44">
        <v>1485</v>
      </c>
      <c r="F197" s="44">
        <v>1668</v>
      </c>
      <c r="G197" s="52">
        <f t="shared" si="3"/>
        <v>0.89028776978417268</v>
      </c>
      <c r="H197" s="44" t="s">
        <v>49</v>
      </c>
      <c r="I197" s="44">
        <v>2022</v>
      </c>
    </row>
    <row r="198" spans="1:9" x14ac:dyDescent="0.25">
      <c r="A198" s="47" t="str">
        <f t="shared" si="4"/>
        <v>11882Octubre2022</v>
      </c>
      <c r="B198" s="44">
        <v>8</v>
      </c>
      <c r="C198" s="44">
        <v>11882</v>
      </c>
      <c r="D198" s="51" t="s">
        <v>22</v>
      </c>
      <c r="E198" s="44">
        <v>814</v>
      </c>
      <c r="F198" s="44">
        <v>927</v>
      </c>
      <c r="G198" s="52">
        <f t="shared" si="3"/>
        <v>0.87810140237324708</v>
      </c>
      <c r="H198" s="44" t="s">
        <v>49</v>
      </c>
      <c r="I198" s="44">
        <v>2022</v>
      </c>
    </row>
    <row r="199" spans="1:9" x14ac:dyDescent="0.25">
      <c r="A199" s="47" t="str">
        <f t="shared" si="4"/>
        <v>1557Octubre2022</v>
      </c>
      <c r="B199" s="44">
        <v>9</v>
      </c>
      <c r="C199" s="44">
        <v>1557</v>
      </c>
      <c r="D199" s="51" t="s">
        <v>12</v>
      </c>
      <c r="E199" s="44">
        <v>942</v>
      </c>
      <c r="F199" s="44">
        <v>1073</v>
      </c>
      <c r="G199" s="52">
        <f t="shared" si="3"/>
        <v>0.87791239515377451</v>
      </c>
      <c r="H199" s="44" t="s">
        <v>49</v>
      </c>
      <c r="I199" s="44">
        <v>2022</v>
      </c>
    </row>
    <row r="200" spans="1:9" x14ac:dyDescent="0.25">
      <c r="A200" s="47" t="str">
        <f t="shared" si="4"/>
        <v>11116Octubre2022</v>
      </c>
      <c r="B200" s="44">
        <v>10</v>
      </c>
      <c r="C200" s="44">
        <v>11116</v>
      </c>
      <c r="D200" s="51" t="s">
        <v>28</v>
      </c>
      <c r="E200" s="44">
        <v>5865</v>
      </c>
      <c r="F200" s="44">
        <v>6747</v>
      </c>
      <c r="G200" s="52">
        <f t="shared" si="3"/>
        <v>0.86927523343708313</v>
      </c>
      <c r="H200" s="44" t="s">
        <v>49</v>
      </c>
      <c r="I200" s="44">
        <v>2022</v>
      </c>
    </row>
    <row r="201" spans="1:9" x14ac:dyDescent="0.25">
      <c r="A201" s="47" t="str">
        <f t="shared" si="4"/>
        <v>237Octubre2022</v>
      </c>
      <c r="B201" s="44">
        <v>11</v>
      </c>
      <c r="C201" s="44">
        <v>237</v>
      </c>
      <c r="D201" s="51" t="s">
        <v>31</v>
      </c>
      <c r="E201" s="44">
        <v>3209</v>
      </c>
      <c r="F201" s="44">
        <v>3934</v>
      </c>
      <c r="G201" s="52">
        <f t="shared" si="3"/>
        <v>0.81570920183019824</v>
      </c>
      <c r="H201" s="44" t="s">
        <v>49</v>
      </c>
      <c r="I201" s="44">
        <v>2022</v>
      </c>
    </row>
    <row r="202" spans="1:9" x14ac:dyDescent="0.25">
      <c r="A202" s="47" t="str">
        <f t="shared" si="4"/>
        <v>233Octubre2022</v>
      </c>
      <c r="B202" s="44">
        <v>12</v>
      </c>
      <c r="C202" s="44">
        <v>233</v>
      </c>
      <c r="D202" s="51" t="s">
        <v>27</v>
      </c>
      <c r="E202" s="44">
        <v>4781</v>
      </c>
      <c r="F202" s="44">
        <v>6026</v>
      </c>
      <c r="G202" s="52">
        <f t="shared" si="3"/>
        <v>0.79339528708927975</v>
      </c>
      <c r="H202" s="44" t="s">
        <v>49</v>
      </c>
      <c r="I202" s="44">
        <v>2022</v>
      </c>
    </row>
    <row r="203" spans="1:9" x14ac:dyDescent="0.25">
      <c r="A203" s="47" t="str">
        <f t="shared" si="4"/>
        <v>240Octubre2022</v>
      </c>
      <c r="B203" s="44">
        <v>13</v>
      </c>
      <c r="C203" s="44">
        <v>240</v>
      </c>
      <c r="D203" s="51" t="s">
        <v>23</v>
      </c>
      <c r="E203" s="44">
        <v>1646</v>
      </c>
      <c r="F203" s="44">
        <v>2258</v>
      </c>
      <c r="G203" s="52">
        <f t="shared" si="3"/>
        <v>0.72896368467670503</v>
      </c>
      <c r="H203" s="44" t="s">
        <v>49</v>
      </c>
      <c r="I203" s="44">
        <v>2022</v>
      </c>
    </row>
    <row r="204" spans="1:9" x14ac:dyDescent="0.25">
      <c r="A204" s="47" t="str">
        <f t="shared" si="4"/>
        <v>241Octubre2022</v>
      </c>
      <c r="B204" s="44">
        <v>14</v>
      </c>
      <c r="C204" s="44">
        <v>241</v>
      </c>
      <c r="D204" s="51" t="s">
        <v>30</v>
      </c>
      <c r="E204" s="44">
        <v>1936</v>
      </c>
      <c r="F204" s="44">
        <v>2825</v>
      </c>
      <c r="G204" s="52">
        <f t="shared" si="3"/>
        <v>0.68530973451327437</v>
      </c>
      <c r="H204" s="44" t="s">
        <v>49</v>
      </c>
      <c r="I204" s="44">
        <v>2022</v>
      </c>
    </row>
    <row r="205" spans="1:9" x14ac:dyDescent="0.25">
      <c r="A205" s="47" t="str">
        <f t="shared" si="4"/>
        <v>238Octubre2022</v>
      </c>
      <c r="B205" s="44">
        <v>15</v>
      </c>
      <c r="C205" s="44">
        <v>238</v>
      </c>
      <c r="D205" s="51" t="s">
        <v>35</v>
      </c>
      <c r="E205" s="44">
        <v>380</v>
      </c>
      <c r="F205" s="44">
        <v>580</v>
      </c>
      <c r="G205" s="52">
        <f t="shared" si="3"/>
        <v>0.65517241379310343</v>
      </c>
      <c r="H205" s="44" t="s">
        <v>49</v>
      </c>
      <c r="I205" s="44">
        <v>2022</v>
      </c>
    </row>
    <row r="206" spans="1:9" x14ac:dyDescent="0.25">
      <c r="A206" s="47" t="str">
        <f t="shared" si="4"/>
        <v>243Octubre2022</v>
      </c>
      <c r="B206" s="44">
        <v>16</v>
      </c>
      <c r="C206" s="44">
        <v>243</v>
      </c>
      <c r="D206" s="51" t="s">
        <v>34</v>
      </c>
      <c r="E206" s="44">
        <v>2036</v>
      </c>
      <c r="F206" s="44">
        <v>3171</v>
      </c>
      <c r="G206" s="52">
        <f t="shared" si="3"/>
        <v>0.64206874802901293</v>
      </c>
      <c r="H206" s="44" t="s">
        <v>49</v>
      </c>
      <c r="I206" s="44">
        <v>2022</v>
      </c>
    </row>
    <row r="207" spans="1:9" x14ac:dyDescent="0.25">
      <c r="A207" s="47" t="str">
        <f t="shared" si="4"/>
        <v>28745Octubre2022</v>
      </c>
      <c r="B207" s="44">
        <v>17</v>
      </c>
      <c r="C207" s="44">
        <v>28745</v>
      </c>
      <c r="D207" s="51" t="s">
        <v>6</v>
      </c>
      <c r="E207" s="44">
        <v>227</v>
      </c>
      <c r="F207" s="44">
        <v>370</v>
      </c>
      <c r="G207" s="52">
        <f t="shared" si="3"/>
        <v>0.61351351351351346</v>
      </c>
      <c r="H207" s="44" t="s">
        <v>49</v>
      </c>
      <c r="I207" s="44">
        <v>2022</v>
      </c>
    </row>
    <row r="208" spans="1:9" x14ac:dyDescent="0.25">
      <c r="A208" s="47" t="str">
        <f t="shared" si="4"/>
        <v>239Octubre2022</v>
      </c>
      <c r="B208" s="44">
        <v>18</v>
      </c>
      <c r="C208" s="44">
        <v>239</v>
      </c>
      <c r="D208" s="51" t="s">
        <v>32</v>
      </c>
      <c r="E208" s="44">
        <v>1633</v>
      </c>
      <c r="F208" s="44">
        <v>2833</v>
      </c>
      <c r="G208" s="52">
        <f t="shared" si="3"/>
        <v>0.57642075538298621</v>
      </c>
      <c r="H208" s="44" t="s">
        <v>49</v>
      </c>
      <c r="I208" s="44">
        <v>2022</v>
      </c>
    </row>
    <row r="209" spans="1:9" x14ac:dyDescent="0.25">
      <c r="A209" s="47" t="str">
        <f t="shared" si="4"/>
        <v>10904Octubre2022</v>
      </c>
      <c r="B209" s="44">
        <v>19</v>
      </c>
      <c r="C209" s="44">
        <v>10904</v>
      </c>
      <c r="D209" s="51" t="s">
        <v>29</v>
      </c>
      <c r="E209" s="44">
        <v>1128</v>
      </c>
      <c r="F209" s="44">
        <v>2026</v>
      </c>
      <c r="G209" s="52">
        <f t="shared" si="3"/>
        <v>0.55676209279368216</v>
      </c>
      <c r="H209" s="44" t="s">
        <v>49</v>
      </c>
      <c r="I209" s="44">
        <v>2022</v>
      </c>
    </row>
    <row r="210" spans="1:9" x14ac:dyDescent="0.25">
      <c r="A210" s="47" t="str">
        <f t="shared" si="4"/>
        <v>235Octubre2022</v>
      </c>
      <c r="B210" s="44">
        <v>20</v>
      </c>
      <c r="C210" s="44">
        <v>235</v>
      </c>
      <c r="D210" s="51" t="s">
        <v>33</v>
      </c>
      <c r="E210" s="44">
        <v>903</v>
      </c>
      <c r="F210" s="44">
        <v>1798</v>
      </c>
      <c r="G210" s="52">
        <f t="shared" si="3"/>
        <v>0.50222469410456061</v>
      </c>
      <c r="H210" s="44" t="s">
        <v>49</v>
      </c>
      <c r="I210" s="44">
        <v>2022</v>
      </c>
    </row>
    <row r="211" spans="1:9" x14ac:dyDescent="0.25">
      <c r="A211" s="47" t="str">
        <f t="shared" si="4"/>
        <v>246Octubre2022</v>
      </c>
      <c r="B211" s="44">
        <v>21</v>
      </c>
      <c r="C211" s="44">
        <v>246</v>
      </c>
      <c r="D211" s="51" t="s">
        <v>9</v>
      </c>
      <c r="E211" s="44">
        <v>1753</v>
      </c>
      <c r="F211" s="44">
        <v>3599</v>
      </c>
      <c r="G211" s="52">
        <f t="shared" si="3"/>
        <v>0.48707974437343704</v>
      </c>
      <c r="H211" s="44" t="s">
        <v>49</v>
      </c>
      <c r="I211" s="44">
        <v>2022</v>
      </c>
    </row>
    <row r="212" spans="1:9" x14ac:dyDescent="0.25">
      <c r="A212" s="47" t="str">
        <f t="shared" si="4"/>
        <v>1557Noviembre2022</v>
      </c>
      <c r="B212" s="13">
        <v>1</v>
      </c>
      <c r="C212" s="13">
        <v>1557</v>
      </c>
      <c r="D212" s="14" t="s">
        <v>12</v>
      </c>
      <c r="E212" s="13">
        <v>1303</v>
      </c>
      <c r="F212" s="13">
        <v>1322</v>
      </c>
      <c r="G212" s="52">
        <f t="shared" si="3"/>
        <v>0.98562783661119513</v>
      </c>
      <c r="H212" s="44" t="s">
        <v>50</v>
      </c>
      <c r="I212" s="44">
        <v>2022</v>
      </c>
    </row>
    <row r="213" spans="1:9" x14ac:dyDescent="0.25">
      <c r="A213" s="47" t="str">
        <f t="shared" si="4"/>
        <v>28745Noviembre2022</v>
      </c>
      <c r="B213" s="13">
        <v>2</v>
      </c>
      <c r="C213" s="13">
        <v>28745</v>
      </c>
      <c r="D213" s="14" t="s">
        <v>6</v>
      </c>
      <c r="E213" s="13">
        <v>426</v>
      </c>
      <c r="F213" s="13">
        <v>432</v>
      </c>
      <c r="G213" s="52">
        <f t="shared" si="3"/>
        <v>0.98611111111111116</v>
      </c>
      <c r="H213" s="44" t="s">
        <v>50</v>
      </c>
      <c r="I213" s="44">
        <v>2022</v>
      </c>
    </row>
    <row r="214" spans="1:9" x14ac:dyDescent="0.25">
      <c r="A214" s="47" t="str">
        <f t="shared" si="4"/>
        <v>11117Noviembre2022</v>
      </c>
      <c r="B214" s="13">
        <v>3</v>
      </c>
      <c r="C214" s="13">
        <v>11117</v>
      </c>
      <c r="D214" s="14" t="s">
        <v>15</v>
      </c>
      <c r="E214" s="13">
        <v>7608</v>
      </c>
      <c r="F214" s="13">
        <v>7894</v>
      </c>
      <c r="G214" s="52">
        <f t="shared" si="3"/>
        <v>0.96376995186217385</v>
      </c>
      <c r="H214" s="44" t="s">
        <v>50</v>
      </c>
      <c r="I214" s="44">
        <v>2022</v>
      </c>
    </row>
    <row r="215" spans="1:9" x14ac:dyDescent="0.25">
      <c r="A215" s="47" t="str">
        <f t="shared" si="4"/>
        <v>11799Noviembre2022</v>
      </c>
      <c r="B215" s="13">
        <v>4</v>
      </c>
      <c r="C215" s="13">
        <v>11799</v>
      </c>
      <c r="D215" s="14" t="s">
        <v>21</v>
      </c>
      <c r="E215" s="13">
        <v>1161</v>
      </c>
      <c r="F215" s="13">
        <v>1209</v>
      </c>
      <c r="G215" s="52">
        <f t="shared" si="3"/>
        <v>0.96029776674937961</v>
      </c>
      <c r="H215" s="44" t="s">
        <v>50</v>
      </c>
      <c r="I215" s="44">
        <v>2022</v>
      </c>
    </row>
    <row r="216" spans="1:9" x14ac:dyDescent="0.25">
      <c r="A216" s="47" t="str">
        <f t="shared" si="4"/>
        <v>242Noviembre2022</v>
      </c>
      <c r="B216" s="13">
        <v>5</v>
      </c>
      <c r="C216" s="13">
        <v>242</v>
      </c>
      <c r="D216" s="14" t="s">
        <v>7</v>
      </c>
      <c r="E216" s="13">
        <v>3655</v>
      </c>
      <c r="F216" s="13">
        <v>3850</v>
      </c>
      <c r="G216" s="52">
        <f t="shared" si="3"/>
        <v>0.94935064935064939</v>
      </c>
      <c r="H216" s="44" t="s">
        <v>50</v>
      </c>
      <c r="I216" s="44">
        <v>2022</v>
      </c>
    </row>
    <row r="217" spans="1:9" x14ac:dyDescent="0.25">
      <c r="A217" s="47" t="str">
        <f t="shared" si="4"/>
        <v>11116Noviembre2022</v>
      </c>
      <c r="B217" s="13">
        <v>6</v>
      </c>
      <c r="C217" s="13">
        <v>11116</v>
      </c>
      <c r="D217" s="14" t="s">
        <v>28</v>
      </c>
      <c r="E217" s="13">
        <v>7107</v>
      </c>
      <c r="F217" s="13">
        <v>7596</v>
      </c>
      <c r="G217" s="52">
        <f t="shared" si="3"/>
        <v>0.9356240126382307</v>
      </c>
      <c r="H217" s="44" t="s">
        <v>50</v>
      </c>
      <c r="I217" s="44">
        <v>2022</v>
      </c>
    </row>
    <row r="218" spans="1:9" x14ac:dyDescent="0.25">
      <c r="A218" s="47" t="str">
        <f t="shared" si="4"/>
        <v>236Noviembre2022</v>
      </c>
      <c r="B218" s="13">
        <v>7</v>
      </c>
      <c r="C218" s="13">
        <v>236</v>
      </c>
      <c r="D218" s="14" t="s">
        <v>25</v>
      </c>
      <c r="E218" s="13">
        <v>1661</v>
      </c>
      <c r="F218" s="13">
        <v>1771</v>
      </c>
      <c r="G218" s="52">
        <f t="shared" si="3"/>
        <v>0.93788819875776397</v>
      </c>
      <c r="H218" s="44" t="s">
        <v>50</v>
      </c>
      <c r="I218" s="44">
        <v>2022</v>
      </c>
    </row>
    <row r="219" spans="1:9" x14ac:dyDescent="0.25">
      <c r="A219" s="47" t="str">
        <f t="shared" si="4"/>
        <v>246Noviembre2022</v>
      </c>
      <c r="B219" s="13">
        <v>8</v>
      </c>
      <c r="C219" s="13">
        <v>246</v>
      </c>
      <c r="D219" s="14" t="s">
        <v>9</v>
      </c>
      <c r="E219" s="13">
        <v>1856</v>
      </c>
      <c r="F219" s="13">
        <v>1980</v>
      </c>
      <c r="G219" s="52">
        <f t="shared" si="3"/>
        <v>0.93737373737373741</v>
      </c>
      <c r="H219" s="44" t="s">
        <v>50</v>
      </c>
      <c r="I219" s="44">
        <v>2022</v>
      </c>
    </row>
    <row r="220" spans="1:9" x14ac:dyDescent="0.25">
      <c r="A220" s="47" t="str">
        <f t="shared" si="4"/>
        <v>234Noviembre2022</v>
      </c>
      <c r="B220" s="13">
        <v>9</v>
      </c>
      <c r="C220" s="13">
        <v>234</v>
      </c>
      <c r="D220" s="14" t="s">
        <v>18</v>
      </c>
      <c r="E220" s="13">
        <v>3136</v>
      </c>
      <c r="F220" s="13">
        <v>3411</v>
      </c>
      <c r="G220" s="52">
        <f t="shared" si="3"/>
        <v>0.91937848138375844</v>
      </c>
      <c r="H220" s="44" t="s">
        <v>50</v>
      </c>
      <c r="I220" s="44">
        <v>2022</v>
      </c>
    </row>
    <row r="221" spans="1:9" x14ac:dyDescent="0.25">
      <c r="A221" s="47" t="str">
        <f t="shared" si="4"/>
        <v>240Noviembre2022</v>
      </c>
      <c r="B221" s="13">
        <v>10</v>
      </c>
      <c r="C221" s="13">
        <v>240</v>
      </c>
      <c r="D221" s="14" t="s">
        <v>23</v>
      </c>
      <c r="E221" s="13">
        <v>2156</v>
      </c>
      <c r="F221" s="13">
        <v>2347</v>
      </c>
      <c r="G221" s="52">
        <f t="shared" si="3"/>
        <v>0.91861951427354072</v>
      </c>
      <c r="H221" s="44" t="s">
        <v>50</v>
      </c>
      <c r="I221" s="44">
        <v>2022</v>
      </c>
    </row>
    <row r="222" spans="1:9" x14ac:dyDescent="0.25">
      <c r="A222" s="47" t="str">
        <f t="shared" si="4"/>
        <v>10904Noviembre2022</v>
      </c>
      <c r="B222" s="13">
        <v>11</v>
      </c>
      <c r="C222" s="13">
        <v>10904</v>
      </c>
      <c r="D222" s="14" t="s">
        <v>29</v>
      </c>
      <c r="E222" s="13">
        <v>1169</v>
      </c>
      <c r="F222" s="13">
        <v>1336</v>
      </c>
      <c r="G222" s="52">
        <f t="shared" si="3"/>
        <v>0.875</v>
      </c>
      <c r="H222" s="44" t="s">
        <v>50</v>
      </c>
      <c r="I222" s="44">
        <v>2022</v>
      </c>
    </row>
    <row r="223" spans="1:9" x14ac:dyDescent="0.25">
      <c r="A223" s="47" t="str">
        <f t="shared" si="4"/>
        <v>237Noviembre2022</v>
      </c>
      <c r="B223" s="13">
        <v>12</v>
      </c>
      <c r="C223" s="13">
        <v>237</v>
      </c>
      <c r="D223" s="14" t="s">
        <v>31</v>
      </c>
      <c r="E223" s="13">
        <v>3016</v>
      </c>
      <c r="F223" s="13">
        <v>3409</v>
      </c>
      <c r="G223" s="52">
        <f t="shared" ref="G223:G254" si="5">E223/F223</f>
        <v>0.88471692578468764</v>
      </c>
      <c r="H223" s="44" t="s">
        <v>50</v>
      </c>
      <c r="I223" s="44">
        <v>2022</v>
      </c>
    </row>
    <row r="224" spans="1:9" x14ac:dyDescent="0.25">
      <c r="A224" s="47" t="str">
        <f t="shared" si="4"/>
        <v>233Noviembre2022</v>
      </c>
      <c r="B224" s="13">
        <v>13</v>
      </c>
      <c r="C224" s="13">
        <v>233</v>
      </c>
      <c r="D224" s="14" t="s">
        <v>27</v>
      </c>
      <c r="E224" s="13">
        <v>6313</v>
      </c>
      <c r="F224" s="13">
        <v>7410</v>
      </c>
      <c r="G224" s="52">
        <f t="shared" si="5"/>
        <v>0.85195681511470989</v>
      </c>
      <c r="H224" s="44" t="s">
        <v>50</v>
      </c>
      <c r="I224" s="44">
        <v>2022</v>
      </c>
    </row>
    <row r="225" spans="1:9" x14ac:dyDescent="0.25">
      <c r="A225" s="47" t="str">
        <f t="shared" si="4"/>
        <v>10951Noviembre2022</v>
      </c>
      <c r="B225" s="13">
        <v>14</v>
      </c>
      <c r="C225" s="13">
        <v>10951</v>
      </c>
      <c r="D225" s="14" t="s">
        <v>24</v>
      </c>
      <c r="E225" s="13">
        <v>1316</v>
      </c>
      <c r="F225" s="13">
        <v>1569</v>
      </c>
      <c r="G225" s="52">
        <f t="shared" si="5"/>
        <v>0.83875079668578711</v>
      </c>
      <c r="H225" s="44" t="s">
        <v>50</v>
      </c>
      <c r="I225" s="44">
        <v>2022</v>
      </c>
    </row>
    <row r="226" spans="1:9" x14ac:dyDescent="0.25">
      <c r="A226" s="47" t="str">
        <f t="shared" si="4"/>
        <v>11882Noviembre2022</v>
      </c>
      <c r="B226" s="13">
        <v>15</v>
      </c>
      <c r="C226" s="13">
        <v>11882</v>
      </c>
      <c r="D226" s="14" t="s">
        <v>22</v>
      </c>
      <c r="E226" s="13">
        <v>705</v>
      </c>
      <c r="F226" s="13">
        <v>836</v>
      </c>
      <c r="G226" s="52">
        <f t="shared" si="5"/>
        <v>0.84330143540669855</v>
      </c>
      <c r="H226" s="44" t="s">
        <v>50</v>
      </c>
      <c r="I226" s="44">
        <v>2022</v>
      </c>
    </row>
    <row r="227" spans="1:9" x14ac:dyDescent="0.25">
      <c r="A227" s="47" t="str">
        <f t="shared" si="4"/>
        <v>241Noviembre2022</v>
      </c>
      <c r="B227" s="13">
        <v>16</v>
      </c>
      <c r="C227" s="13">
        <v>241</v>
      </c>
      <c r="D227" s="14" t="s">
        <v>30</v>
      </c>
      <c r="E227" s="13">
        <v>1226</v>
      </c>
      <c r="F227" s="13">
        <v>1621</v>
      </c>
      <c r="G227" s="52">
        <f t="shared" si="5"/>
        <v>0.75632325724861194</v>
      </c>
      <c r="H227" s="44" t="s">
        <v>50</v>
      </c>
      <c r="I227" s="44">
        <v>2022</v>
      </c>
    </row>
    <row r="228" spans="1:9" x14ac:dyDescent="0.25">
      <c r="A228" s="47" t="str">
        <f t="shared" si="4"/>
        <v>239Noviembre2022</v>
      </c>
      <c r="B228" s="13">
        <v>17</v>
      </c>
      <c r="C228" s="13">
        <v>239</v>
      </c>
      <c r="D228" s="14" t="s">
        <v>32</v>
      </c>
      <c r="E228" s="13">
        <v>2458</v>
      </c>
      <c r="F228" s="13">
        <v>3621</v>
      </c>
      <c r="G228" s="52">
        <f t="shared" si="5"/>
        <v>0.67881800607566967</v>
      </c>
      <c r="H228" s="44" t="s">
        <v>50</v>
      </c>
      <c r="I228" s="44">
        <v>2022</v>
      </c>
    </row>
    <row r="229" spans="1:9" x14ac:dyDescent="0.25">
      <c r="A229" s="47" t="str">
        <f t="shared" si="4"/>
        <v>11931Noviembre2022</v>
      </c>
      <c r="B229" s="13">
        <v>18</v>
      </c>
      <c r="C229" s="13">
        <v>11931</v>
      </c>
      <c r="D229" s="14" t="s">
        <v>39</v>
      </c>
      <c r="E229" s="13">
        <v>2433</v>
      </c>
      <c r="F229" s="13">
        <v>3892</v>
      </c>
      <c r="G229" s="52">
        <f t="shared" si="5"/>
        <v>0.62512846865364846</v>
      </c>
      <c r="H229" s="44" t="s">
        <v>50</v>
      </c>
      <c r="I229" s="44">
        <v>2022</v>
      </c>
    </row>
    <row r="230" spans="1:9" x14ac:dyDescent="0.25">
      <c r="A230" s="47" t="str">
        <f t="shared" si="4"/>
        <v>243Noviembre2022</v>
      </c>
      <c r="B230" s="13">
        <v>19</v>
      </c>
      <c r="C230" s="13">
        <v>243</v>
      </c>
      <c r="D230" s="14" t="s">
        <v>34</v>
      </c>
      <c r="E230" s="13">
        <v>1402</v>
      </c>
      <c r="F230" s="13">
        <v>2463</v>
      </c>
      <c r="G230" s="52">
        <f t="shared" si="5"/>
        <v>0.56922452293950465</v>
      </c>
      <c r="H230" s="44" t="s">
        <v>50</v>
      </c>
      <c r="I230" s="44">
        <v>2022</v>
      </c>
    </row>
    <row r="231" spans="1:9" x14ac:dyDescent="0.25">
      <c r="A231" s="47" t="str">
        <f t="shared" si="4"/>
        <v>235Noviembre2022</v>
      </c>
      <c r="B231" s="13">
        <v>20</v>
      </c>
      <c r="C231" s="13">
        <v>235</v>
      </c>
      <c r="D231" s="14" t="s">
        <v>33</v>
      </c>
      <c r="E231" s="13">
        <v>1403</v>
      </c>
      <c r="F231" s="13">
        <v>5611</v>
      </c>
      <c r="G231" s="52">
        <f t="shared" si="5"/>
        <v>0.25004455533772946</v>
      </c>
      <c r="H231" s="44" t="s">
        <v>50</v>
      </c>
      <c r="I231" s="44">
        <v>2022</v>
      </c>
    </row>
    <row r="232" spans="1:9" x14ac:dyDescent="0.25">
      <c r="A232" s="47" t="str">
        <f t="shared" si="4"/>
        <v>238Noviembre2022</v>
      </c>
      <c r="B232" s="13">
        <v>21</v>
      </c>
      <c r="C232" s="13">
        <v>238</v>
      </c>
      <c r="D232" s="14" t="s">
        <v>35</v>
      </c>
      <c r="E232" s="13">
        <v>320</v>
      </c>
      <c r="F232" s="13">
        <v>2095</v>
      </c>
      <c r="G232" s="52">
        <f t="shared" si="5"/>
        <v>0.15274463007159905</v>
      </c>
      <c r="H232" s="44" t="s">
        <v>50</v>
      </c>
      <c r="I232" s="44">
        <v>2022</v>
      </c>
    </row>
    <row r="233" spans="1:9" x14ac:dyDescent="0.25">
      <c r="A233" s="51" t="str">
        <f t="shared" si="4"/>
        <v>1557Diciembre2022</v>
      </c>
      <c r="B233" s="13">
        <v>1</v>
      </c>
      <c r="C233" s="13">
        <v>1557</v>
      </c>
      <c r="D233" s="14" t="s">
        <v>12</v>
      </c>
      <c r="E233" s="13">
        <v>1056</v>
      </c>
      <c r="F233" s="13">
        <v>1067</v>
      </c>
      <c r="G233" s="52">
        <f t="shared" si="5"/>
        <v>0.98969072164948457</v>
      </c>
      <c r="H233" s="44" t="s">
        <v>51</v>
      </c>
      <c r="I233" s="44">
        <v>2022</v>
      </c>
    </row>
    <row r="234" spans="1:9" x14ac:dyDescent="0.25">
      <c r="A234" s="51" t="str">
        <f t="shared" si="4"/>
        <v>242Diciembre2022</v>
      </c>
      <c r="B234" s="13">
        <v>2</v>
      </c>
      <c r="C234" s="13">
        <v>242</v>
      </c>
      <c r="D234" s="14" t="s">
        <v>7</v>
      </c>
      <c r="E234" s="13">
        <v>3029</v>
      </c>
      <c r="F234" s="13">
        <v>3066</v>
      </c>
      <c r="G234" s="52">
        <f t="shared" si="5"/>
        <v>0.98793215916503585</v>
      </c>
      <c r="H234" s="44" t="s">
        <v>51</v>
      </c>
      <c r="I234" s="44">
        <v>2022</v>
      </c>
    </row>
    <row r="235" spans="1:9" x14ac:dyDescent="0.25">
      <c r="A235" s="51" t="str">
        <f t="shared" si="4"/>
        <v>28745Diciembre2022</v>
      </c>
      <c r="B235" s="13">
        <v>3</v>
      </c>
      <c r="C235" s="13">
        <v>28745</v>
      </c>
      <c r="D235" s="14" t="s">
        <v>6</v>
      </c>
      <c r="E235" s="13">
        <v>467</v>
      </c>
      <c r="F235" s="13">
        <v>471</v>
      </c>
      <c r="G235" s="52">
        <f t="shared" si="5"/>
        <v>0.99150743099787686</v>
      </c>
      <c r="H235" s="44" t="s">
        <v>51</v>
      </c>
      <c r="I235" s="44">
        <v>2022</v>
      </c>
    </row>
    <row r="236" spans="1:9" x14ac:dyDescent="0.25">
      <c r="A236" s="51" t="str">
        <f t="shared" si="4"/>
        <v>11117Diciembre2022</v>
      </c>
      <c r="B236" s="13">
        <v>4</v>
      </c>
      <c r="C236" s="13">
        <v>11117</v>
      </c>
      <c r="D236" s="14" t="s">
        <v>15</v>
      </c>
      <c r="E236" s="13">
        <v>6520</v>
      </c>
      <c r="F236" s="13">
        <v>6764</v>
      </c>
      <c r="G236" s="52">
        <f t="shared" si="5"/>
        <v>0.96392667060910708</v>
      </c>
      <c r="H236" s="44" t="s">
        <v>51</v>
      </c>
      <c r="I236" s="44">
        <v>2022</v>
      </c>
    </row>
    <row r="237" spans="1:9" x14ac:dyDescent="0.25">
      <c r="A237" s="51" t="str">
        <f t="shared" si="4"/>
        <v>234Diciembre2022</v>
      </c>
      <c r="B237" s="13">
        <v>5</v>
      </c>
      <c r="C237" s="13">
        <v>234</v>
      </c>
      <c r="D237" s="14" t="s">
        <v>18</v>
      </c>
      <c r="E237" s="13">
        <v>3328</v>
      </c>
      <c r="F237" s="13">
        <v>3627</v>
      </c>
      <c r="G237" s="52">
        <f t="shared" si="5"/>
        <v>0.91756272401433692</v>
      </c>
      <c r="H237" s="44" t="s">
        <v>51</v>
      </c>
      <c r="I237" s="44">
        <v>2022</v>
      </c>
    </row>
    <row r="238" spans="1:9" x14ac:dyDescent="0.25">
      <c r="A238" s="51" t="str">
        <f t="shared" si="4"/>
        <v>11799Diciembre2022</v>
      </c>
      <c r="B238" s="13">
        <v>6</v>
      </c>
      <c r="C238" s="13">
        <v>11799</v>
      </c>
      <c r="D238" s="14" t="s">
        <v>21</v>
      </c>
      <c r="E238" s="13">
        <v>886</v>
      </c>
      <c r="F238" s="13">
        <v>981</v>
      </c>
      <c r="G238" s="52">
        <f t="shared" si="5"/>
        <v>0.90316004077471967</v>
      </c>
      <c r="H238" s="44" t="s">
        <v>51</v>
      </c>
      <c r="I238" s="44">
        <v>2022</v>
      </c>
    </row>
    <row r="239" spans="1:9" x14ac:dyDescent="0.25">
      <c r="A239" s="51" t="str">
        <f t="shared" si="4"/>
        <v>11931Diciembre2022</v>
      </c>
      <c r="B239" s="13">
        <v>7</v>
      </c>
      <c r="C239" s="13">
        <v>11931</v>
      </c>
      <c r="D239" s="14" t="s">
        <v>26</v>
      </c>
      <c r="E239" s="13">
        <v>1617</v>
      </c>
      <c r="F239" s="13">
        <v>1806</v>
      </c>
      <c r="G239" s="52">
        <f t="shared" si="5"/>
        <v>0.89534883720930236</v>
      </c>
      <c r="H239" s="44" t="s">
        <v>51</v>
      </c>
      <c r="I239" s="44">
        <v>2022</v>
      </c>
    </row>
    <row r="240" spans="1:9" x14ac:dyDescent="0.25">
      <c r="A240" s="51" t="str">
        <f t="shared" si="4"/>
        <v>10904Diciembre2022</v>
      </c>
      <c r="B240" s="13">
        <v>8</v>
      </c>
      <c r="C240" s="13">
        <v>10904</v>
      </c>
      <c r="D240" s="14" t="s">
        <v>29</v>
      </c>
      <c r="E240" s="13">
        <v>1452</v>
      </c>
      <c r="F240" s="13">
        <v>1651</v>
      </c>
      <c r="G240" s="52">
        <f t="shared" si="5"/>
        <v>0.87946698970321013</v>
      </c>
      <c r="H240" s="44" t="s">
        <v>51</v>
      </c>
      <c r="I240" s="44">
        <v>2022</v>
      </c>
    </row>
    <row r="241" spans="1:9" x14ac:dyDescent="0.25">
      <c r="A241" s="51" t="str">
        <f t="shared" si="4"/>
        <v>11882Diciembre2022</v>
      </c>
      <c r="B241" s="13">
        <v>9</v>
      </c>
      <c r="C241" s="13">
        <v>11882</v>
      </c>
      <c r="D241" s="14" t="s">
        <v>22</v>
      </c>
      <c r="E241" s="13">
        <v>845</v>
      </c>
      <c r="F241" s="13">
        <v>956</v>
      </c>
      <c r="G241" s="52">
        <f t="shared" si="5"/>
        <v>0.88389121338912136</v>
      </c>
      <c r="H241" s="44" t="s">
        <v>51</v>
      </c>
      <c r="I241" s="44">
        <v>2022</v>
      </c>
    </row>
    <row r="242" spans="1:9" x14ac:dyDescent="0.25">
      <c r="A242" s="51" t="str">
        <f t="shared" si="4"/>
        <v>10951Diciembre2022</v>
      </c>
      <c r="B242" s="13">
        <v>10</v>
      </c>
      <c r="C242" s="13">
        <v>10951</v>
      </c>
      <c r="D242" s="14" t="s">
        <v>24</v>
      </c>
      <c r="E242" s="13">
        <v>1213</v>
      </c>
      <c r="F242" s="13">
        <v>1389</v>
      </c>
      <c r="G242" s="52">
        <f t="shared" si="5"/>
        <v>0.87329013678905687</v>
      </c>
      <c r="H242" s="44" t="s">
        <v>51</v>
      </c>
      <c r="I242" s="44">
        <v>2022</v>
      </c>
    </row>
    <row r="243" spans="1:9" x14ac:dyDescent="0.25">
      <c r="A243" s="51" t="str">
        <f t="shared" si="4"/>
        <v>239Diciembre2022</v>
      </c>
      <c r="B243" s="13">
        <v>11</v>
      </c>
      <c r="C243" s="13">
        <v>239</v>
      </c>
      <c r="D243" s="14" t="s">
        <v>32</v>
      </c>
      <c r="E243" s="13">
        <v>2491</v>
      </c>
      <c r="F243" s="13">
        <v>2879</v>
      </c>
      <c r="G243" s="52">
        <f t="shared" si="5"/>
        <v>0.86523098298020151</v>
      </c>
      <c r="H243" s="44" t="s">
        <v>51</v>
      </c>
      <c r="I243" s="44">
        <v>2022</v>
      </c>
    </row>
    <row r="244" spans="1:9" x14ac:dyDescent="0.25">
      <c r="A244" s="51" t="str">
        <f t="shared" si="4"/>
        <v>246Diciembre2022</v>
      </c>
      <c r="B244" s="13">
        <v>12</v>
      </c>
      <c r="C244" s="13">
        <v>246</v>
      </c>
      <c r="D244" s="14" t="s">
        <v>9</v>
      </c>
      <c r="E244" s="13">
        <v>2793</v>
      </c>
      <c r="F244" s="13">
        <v>3245</v>
      </c>
      <c r="G244" s="52">
        <f t="shared" si="5"/>
        <v>0.86070878274268103</v>
      </c>
      <c r="H244" s="44" t="s">
        <v>51</v>
      </c>
      <c r="I244" s="44">
        <v>2022</v>
      </c>
    </row>
    <row r="245" spans="1:9" x14ac:dyDescent="0.25">
      <c r="A245" s="51" t="str">
        <f t="shared" si="4"/>
        <v>11116Diciembre2022</v>
      </c>
      <c r="B245" s="13">
        <v>13</v>
      </c>
      <c r="C245" s="13">
        <v>11116</v>
      </c>
      <c r="D245" s="14" t="s">
        <v>28</v>
      </c>
      <c r="E245" s="13">
        <v>5539</v>
      </c>
      <c r="F245" s="13">
        <v>6485</v>
      </c>
      <c r="G245" s="52">
        <f t="shared" si="5"/>
        <v>0.85412490362374716</v>
      </c>
      <c r="H245" s="44" t="s">
        <v>51</v>
      </c>
      <c r="I245" s="44">
        <v>2022</v>
      </c>
    </row>
    <row r="246" spans="1:9" x14ac:dyDescent="0.25">
      <c r="A246" s="51" t="str">
        <f t="shared" si="4"/>
        <v>241Diciembre2022</v>
      </c>
      <c r="B246" s="13">
        <v>14</v>
      </c>
      <c r="C246" s="13">
        <v>241</v>
      </c>
      <c r="D246" s="14" t="s">
        <v>30</v>
      </c>
      <c r="E246" s="13">
        <v>1834</v>
      </c>
      <c r="F246" s="13">
        <v>2195</v>
      </c>
      <c r="G246" s="52">
        <f t="shared" si="5"/>
        <v>0.83553530751708427</v>
      </c>
      <c r="H246" s="44" t="s">
        <v>51</v>
      </c>
      <c r="I246" s="44">
        <v>2022</v>
      </c>
    </row>
    <row r="247" spans="1:9" x14ac:dyDescent="0.25">
      <c r="A247" s="51" t="str">
        <f t="shared" si="4"/>
        <v>240Diciembre2022</v>
      </c>
      <c r="B247" s="13">
        <v>15</v>
      </c>
      <c r="C247" s="13">
        <v>240</v>
      </c>
      <c r="D247" s="14" t="s">
        <v>23</v>
      </c>
      <c r="E247" s="13">
        <v>1882</v>
      </c>
      <c r="F247" s="13">
        <v>2373</v>
      </c>
      <c r="G247" s="52">
        <f t="shared" si="5"/>
        <v>0.79308891698272233</v>
      </c>
      <c r="H247" s="44" t="s">
        <v>51</v>
      </c>
      <c r="I247" s="44">
        <v>2022</v>
      </c>
    </row>
    <row r="248" spans="1:9" x14ac:dyDescent="0.25">
      <c r="A248" s="51" t="str">
        <f t="shared" si="4"/>
        <v>233Diciembre2022</v>
      </c>
      <c r="B248" s="13">
        <v>16</v>
      </c>
      <c r="C248" s="13">
        <v>233</v>
      </c>
      <c r="D248" s="14" t="s">
        <v>27</v>
      </c>
      <c r="E248" s="13">
        <v>4423</v>
      </c>
      <c r="F248" s="13">
        <v>5834</v>
      </c>
      <c r="G248" s="52">
        <f t="shared" si="5"/>
        <v>0.75814192663695579</v>
      </c>
      <c r="H248" s="44" t="s">
        <v>51</v>
      </c>
      <c r="I248" s="44">
        <v>2022</v>
      </c>
    </row>
    <row r="249" spans="1:9" x14ac:dyDescent="0.25">
      <c r="A249" s="51" t="str">
        <f t="shared" si="4"/>
        <v>237Diciembre2022</v>
      </c>
      <c r="B249" s="13">
        <v>17</v>
      </c>
      <c r="C249" s="13">
        <v>237</v>
      </c>
      <c r="D249" s="14" t="s">
        <v>31</v>
      </c>
      <c r="E249" s="13">
        <v>2047</v>
      </c>
      <c r="F249" s="13">
        <v>2680</v>
      </c>
      <c r="G249" s="52">
        <f t="shared" si="5"/>
        <v>0.76380597014925378</v>
      </c>
      <c r="H249" s="44" t="s">
        <v>51</v>
      </c>
      <c r="I249" s="44">
        <v>2022</v>
      </c>
    </row>
    <row r="250" spans="1:9" x14ac:dyDescent="0.25">
      <c r="A250" s="51" t="str">
        <f t="shared" si="4"/>
        <v>236Diciembre2022</v>
      </c>
      <c r="B250" s="13">
        <v>18</v>
      </c>
      <c r="C250" s="13">
        <v>236</v>
      </c>
      <c r="D250" s="14" t="s">
        <v>25</v>
      </c>
      <c r="E250" s="13">
        <v>2159</v>
      </c>
      <c r="F250" s="13">
        <v>3358</v>
      </c>
      <c r="G250" s="52">
        <f t="shared" si="5"/>
        <v>0.64294222751637875</v>
      </c>
      <c r="H250" s="44" t="s">
        <v>51</v>
      </c>
      <c r="I250" s="44">
        <v>2022</v>
      </c>
    </row>
    <row r="251" spans="1:9" x14ac:dyDescent="0.25">
      <c r="A251" s="51" t="str">
        <f t="shared" si="4"/>
        <v>235Diciembre2022</v>
      </c>
      <c r="B251" s="13">
        <v>19</v>
      </c>
      <c r="C251" s="13">
        <v>235</v>
      </c>
      <c r="D251" s="14" t="s">
        <v>33</v>
      </c>
      <c r="E251" s="13">
        <v>2185</v>
      </c>
      <c r="F251" s="13">
        <v>3891</v>
      </c>
      <c r="G251" s="52">
        <f t="shared" si="5"/>
        <v>0.56155230017990232</v>
      </c>
      <c r="H251" s="44" t="s">
        <v>51</v>
      </c>
      <c r="I251" s="44">
        <v>2022</v>
      </c>
    </row>
    <row r="252" spans="1:9" x14ac:dyDescent="0.25">
      <c r="A252" s="51" t="str">
        <f t="shared" si="4"/>
        <v>238Diciembre2022</v>
      </c>
      <c r="B252" s="13">
        <v>20</v>
      </c>
      <c r="C252" s="13">
        <v>238</v>
      </c>
      <c r="D252" s="14" t="s">
        <v>35</v>
      </c>
      <c r="E252" s="13">
        <v>262</v>
      </c>
      <c r="F252" s="13">
        <v>935</v>
      </c>
      <c r="G252" s="52">
        <f t="shared" si="5"/>
        <v>0.28021390374331551</v>
      </c>
      <c r="H252" s="44" t="s">
        <v>51</v>
      </c>
      <c r="I252" s="44">
        <v>2022</v>
      </c>
    </row>
    <row r="253" spans="1:9" x14ac:dyDescent="0.25">
      <c r="A253" s="51" t="str">
        <f t="shared" si="4"/>
        <v>243Diciembre2022</v>
      </c>
      <c r="B253" s="13">
        <v>21</v>
      </c>
      <c r="C253" s="13">
        <v>243</v>
      </c>
      <c r="D253" s="14" t="s">
        <v>34</v>
      </c>
      <c r="E253" s="13">
        <v>244</v>
      </c>
      <c r="F253" s="13">
        <v>2561</v>
      </c>
      <c r="G253" s="52">
        <f t="shared" si="5"/>
        <v>9.5275283092541976E-2</v>
      </c>
      <c r="H253" s="44" t="s">
        <v>51</v>
      </c>
      <c r="I253" s="44">
        <v>2022</v>
      </c>
    </row>
    <row r="254" spans="1:9" x14ac:dyDescent="0.25">
      <c r="A254" s="44" t="str">
        <f t="shared" si="4"/>
        <v>11882Enero2023</v>
      </c>
      <c r="B254" s="44">
        <v>1</v>
      </c>
      <c r="C254" s="44">
        <v>11882</v>
      </c>
      <c r="D254" s="51" t="s">
        <v>22</v>
      </c>
      <c r="E254" s="44">
        <v>244</v>
      </c>
      <c r="F254" s="44">
        <v>245</v>
      </c>
      <c r="G254" s="52">
        <f t="shared" si="5"/>
        <v>0.99591836734693873</v>
      </c>
      <c r="H254" s="44" t="s">
        <v>40</v>
      </c>
      <c r="I254" s="44">
        <v>2023</v>
      </c>
    </row>
    <row r="255" spans="1:9" x14ac:dyDescent="0.25">
      <c r="A255" s="44" t="str">
        <f t="shared" si="4"/>
        <v>242Enero2023</v>
      </c>
      <c r="B255" s="44">
        <v>2</v>
      </c>
      <c r="C255" s="44">
        <v>242</v>
      </c>
      <c r="D255" s="51" t="s">
        <v>7</v>
      </c>
      <c r="E255" s="44">
        <v>886</v>
      </c>
      <c r="F255" s="44">
        <v>889</v>
      </c>
      <c r="G255" s="52">
        <f t="shared" ref="G255:G286" si="6">E255/F255</f>
        <v>0.99662542182227221</v>
      </c>
      <c r="H255" s="44" t="s">
        <v>40</v>
      </c>
      <c r="I255" s="44">
        <v>2023</v>
      </c>
    </row>
    <row r="256" spans="1:9" x14ac:dyDescent="0.25">
      <c r="A256" s="44" t="str">
        <f t="shared" si="4"/>
        <v>28745Enero2023</v>
      </c>
      <c r="B256" s="44">
        <v>3</v>
      </c>
      <c r="C256" s="44">
        <v>28745</v>
      </c>
      <c r="D256" s="51" t="s">
        <v>6</v>
      </c>
      <c r="E256" s="44">
        <v>132</v>
      </c>
      <c r="F256" s="44">
        <v>132</v>
      </c>
      <c r="G256" s="52">
        <f t="shared" si="6"/>
        <v>1</v>
      </c>
      <c r="H256" s="44" t="s">
        <v>40</v>
      </c>
      <c r="I256" s="44">
        <v>2023</v>
      </c>
    </row>
    <row r="257" spans="1:9" x14ac:dyDescent="0.25">
      <c r="A257" s="44" t="str">
        <f t="shared" si="4"/>
        <v>234Enero2023</v>
      </c>
      <c r="B257" s="44">
        <v>4</v>
      </c>
      <c r="C257" s="44">
        <v>234</v>
      </c>
      <c r="D257" s="51" t="s">
        <v>18</v>
      </c>
      <c r="E257" s="44">
        <v>1093</v>
      </c>
      <c r="F257" s="44">
        <v>1103</v>
      </c>
      <c r="G257" s="52">
        <f t="shared" si="6"/>
        <v>0.99093381686310067</v>
      </c>
      <c r="H257" s="44" t="s">
        <v>40</v>
      </c>
      <c r="I257" s="44">
        <v>2023</v>
      </c>
    </row>
    <row r="258" spans="1:9" x14ac:dyDescent="0.25">
      <c r="A258" s="44" t="str">
        <f t="shared" ref="A258:A321" si="7">C258&amp;H258&amp;I258</f>
        <v>236Enero2023</v>
      </c>
      <c r="B258" s="44">
        <v>5</v>
      </c>
      <c r="C258" s="44">
        <v>236</v>
      </c>
      <c r="D258" s="51" t="s">
        <v>25</v>
      </c>
      <c r="E258" s="44">
        <v>1060</v>
      </c>
      <c r="F258" s="44">
        <v>1072</v>
      </c>
      <c r="G258" s="52">
        <f t="shared" si="6"/>
        <v>0.98880597014925375</v>
      </c>
      <c r="H258" s="44" t="s">
        <v>40</v>
      </c>
      <c r="I258" s="44">
        <v>2023</v>
      </c>
    </row>
    <row r="259" spans="1:9" x14ac:dyDescent="0.25">
      <c r="A259" s="44" t="str">
        <f t="shared" si="7"/>
        <v>246Enero2023</v>
      </c>
      <c r="B259" s="44">
        <v>6</v>
      </c>
      <c r="C259" s="44">
        <v>246</v>
      </c>
      <c r="D259" s="51" t="s">
        <v>9</v>
      </c>
      <c r="E259" s="44">
        <v>889</v>
      </c>
      <c r="F259" s="44">
        <v>897</v>
      </c>
      <c r="G259" s="52">
        <f t="shared" si="6"/>
        <v>0.99108138238573018</v>
      </c>
      <c r="H259" s="44" t="s">
        <v>40</v>
      </c>
      <c r="I259" s="44">
        <v>2023</v>
      </c>
    </row>
    <row r="260" spans="1:9" x14ac:dyDescent="0.25">
      <c r="A260" s="44" t="str">
        <f t="shared" si="7"/>
        <v>10904Enero2023</v>
      </c>
      <c r="B260" s="44">
        <v>7</v>
      </c>
      <c r="C260" s="44">
        <v>10904</v>
      </c>
      <c r="D260" s="51" t="s">
        <v>29</v>
      </c>
      <c r="E260" s="44">
        <v>326</v>
      </c>
      <c r="F260" s="44">
        <v>331</v>
      </c>
      <c r="G260" s="52">
        <f t="shared" si="6"/>
        <v>0.98489425981873113</v>
      </c>
      <c r="H260" s="44" t="s">
        <v>40</v>
      </c>
      <c r="I260" s="44">
        <v>2023</v>
      </c>
    </row>
    <row r="261" spans="1:9" x14ac:dyDescent="0.25">
      <c r="A261" s="44" t="str">
        <f t="shared" si="7"/>
        <v>11117Enero2023</v>
      </c>
      <c r="B261" s="44">
        <v>8</v>
      </c>
      <c r="C261" s="44">
        <v>11117</v>
      </c>
      <c r="D261" s="51" t="s">
        <v>15</v>
      </c>
      <c r="E261" s="44">
        <v>2816</v>
      </c>
      <c r="F261" s="44">
        <v>2998</v>
      </c>
      <c r="G261" s="52">
        <f t="shared" si="6"/>
        <v>0.93929286190793859</v>
      </c>
      <c r="H261" s="44" t="s">
        <v>40</v>
      </c>
      <c r="I261" s="44">
        <v>2023</v>
      </c>
    </row>
    <row r="262" spans="1:9" x14ac:dyDescent="0.25">
      <c r="A262" s="44" t="str">
        <f t="shared" si="7"/>
        <v>11799Enero2023</v>
      </c>
      <c r="B262" s="44">
        <v>9</v>
      </c>
      <c r="C262" s="44">
        <v>11799</v>
      </c>
      <c r="D262" s="51" t="s">
        <v>21</v>
      </c>
      <c r="E262" s="44">
        <v>237</v>
      </c>
      <c r="F262" s="44">
        <v>255</v>
      </c>
      <c r="G262" s="52">
        <f t="shared" si="6"/>
        <v>0.92941176470588238</v>
      </c>
      <c r="H262" s="44" t="s">
        <v>40</v>
      </c>
      <c r="I262" s="44">
        <v>2023</v>
      </c>
    </row>
    <row r="263" spans="1:9" x14ac:dyDescent="0.25">
      <c r="A263" s="44" t="str">
        <f t="shared" si="7"/>
        <v>10951Enero2023</v>
      </c>
      <c r="B263" s="44">
        <v>10</v>
      </c>
      <c r="C263" s="44">
        <v>10951</v>
      </c>
      <c r="D263" s="51" t="s">
        <v>24</v>
      </c>
      <c r="E263" s="44">
        <v>513</v>
      </c>
      <c r="F263" s="44">
        <v>559</v>
      </c>
      <c r="G263" s="52">
        <f t="shared" si="6"/>
        <v>0.91771019677996424</v>
      </c>
      <c r="H263" s="44" t="s">
        <v>40</v>
      </c>
      <c r="I263" s="44">
        <v>2023</v>
      </c>
    </row>
    <row r="264" spans="1:9" x14ac:dyDescent="0.25">
      <c r="A264" s="44" t="str">
        <f t="shared" si="7"/>
        <v>240Enero2023</v>
      </c>
      <c r="B264" s="44">
        <v>11</v>
      </c>
      <c r="C264" s="44">
        <v>240</v>
      </c>
      <c r="D264" s="51" t="s">
        <v>23</v>
      </c>
      <c r="E264" s="44">
        <v>796</v>
      </c>
      <c r="F264" s="44">
        <v>867</v>
      </c>
      <c r="G264" s="52">
        <f t="shared" si="6"/>
        <v>0.91810841983852365</v>
      </c>
      <c r="H264" s="44" t="s">
        <v>40</v>
      </c>
      <c r="I264" s="44">
        <v>2023</v>
      </c>
    </row>
    <row r="265" spans="1:9" x14ac:dyDescent="0.25">
      <c r="A265" s="44" t="str">
        <f t="shared" si="7"/>
        <v>11931Enero2023</v>
      </c>
      <c r="B265" s="44">
        <v>12</v>
      </c>
      <c r="C265" s="44">
        <v>11931</v>
      </c>
      <c r="D265" s="51" t="s">
        <v>39</v>
      </c>
      <c r="E265" s="44">
        <v>716</v>
      </c>
      <c r="F265" s="44">
        <v>781</v>
      </c>
      <c r="G265" s="52">
        <f t="shared" si="6"/>
        <v>0.91677336747759286</v>
      </c>
      <c r="H265" s="44" t="s">
        <v>40</v>
      </c>
      <c r="I265" s="44">
        <v>2023</v>
      </c>
    </row>
    <row r="266" spans="1:9" x14ac:dyDescent="0.25">
      <c r="A266" s="44" t="str">
        <f t="shared" si="7"/>
        <v>1557Enero2023</v>
      </c>
      <c r="B266" s="44">
        <v>13</v>
      </c>
      <c r="C266" s="44">
        <v>1557</v>
      </c>
      <c r="D266" s="51" t="s">
        <v>12</v>
      </c>
      <c r="E266" s="44">
        <v>358</v>
      </c>
      <c r="F266" s="44">
        <v>400</v>
      </c>
      <c r="G266" s="52">
        <f t="shared" si="6"/>
        <v>0.89500000000000002</v>
      </c>
      <c r="H266" s="44" t="s">
        <v>40</v>
      </c>
      <c r="I266" s="44">
        <v>2023</v>
      </c>
    </row>
    <row r="267" spans="1:9" x14ac:dyDescent="0.25">
      <c r="A267" s="44" t="str">
        <f t="shared" si="7"/>
        <v>11116Enero2023</v>
      </c>
      <c r="B267" s="44">
        <v>14</v>
      </c>
      <c r="C267" s="44">
        <v>11116</v>
      </c>
      <c r="D267" s="51" t="s">
        <v>28</v>
      </c>
      <c r="E267" s="44">
        <v>2725</v>
      </c>
      <c r="F267" s="44">
        <v>3152</v>
      </c>
      <c r="G267" s="52">
        <f t="shared" si="6"/>
        <v>0.86453045685279184</v>
      </c>
      <c r="H267" s="44" t="s">
        <v>40</v>
      </c>
      <c r="I267" s="44">
        <v>2023</v>
      </c>
    </row>
    <row r="268" spans="1:9" x14ac:dyDescent="0.25">
      <c r="A268" s="44" t="str">
        <f t="shared" si="7"/>
        <v>233Enero2023</v>
      </c>
      <c r="B268" s="44">
        <v>15</v>
      </c>
      <c r="C268" s="44">
        <v>233</v>
      </c>
      <c r="D268" s="51" t="s">
        <v>27</v>
      </c>
      <c r="E268" s="44">
        <v>2839</v>
      </c>
      <c r="F268" s="44">
        <v>3377</v>
      </c>
      <c r="G268" s="52">
        <f t="shared" si="6"/>
        <v>0.84068700029612087</v>
      </c>
      <c r="H268" s="44" t="s">
        <v>40</v>
      </c>
      <c r="I268" s="44">
        <v>2023</v>
      </c>
    </row>
    <row r="269" spans="1:9" x14ac:dyDescent="0.25">
      <c r="A269" s="44" t="str">
        <f t="shared" si="7"/>
        <v>241Enero2023</v>
      </c>
      <c r="B269" s="44">
        <v>16</v>
      </c>
      <c r="C269" s="44">
        <v>241</v>
      </c>
      <c r="D269" s="51" t="s">
        <v>30</v>
      </c>
      <c r="E269" s="44">
        <v>537</v>
      </c>
      <c r="F269" s="44">
        <v>642</v>
      </c>
      <c r="G269" s="52">
        <f t="shared" si="6"/>
        <v>0.83644859813084116</v>
      </c>
      <c r="H269" s="44" t="s">
        <v>40</v>
      </c>
      <c r="I269" s="44">
        <v>2023</v>
      </c>
    </row>
    <row r="270" spans="1:9" x14ac:dyDescent="0.25">
      <c r="A270" s="44" t="str">
        <f t="shared" si="7"/>
        <v>237Enero2023</v>
      </c>
      <c r="B270" s="44">
        <v>17</v>
      </c>
      <c r="C270" s="44">
        <v>237</v>
      </c>
      <c r="D270" s="51" t="s">
        <v>31</v>
      </c>
      <c r="E270" s="44">
        <v>1240</v>
      </c>
      <c r="F270" s="44">
        <v>1619</v>
      </c>
      <c r="G270" s="52">
        <f t="shared" si="6"/>
        <v>0.76590487955528108</v>
      </c>
      <c r="H270" s="44" t="s">
        <v>40</v>
      </c>
      <c r="I270" s="44">
        <v>2023</v>
      </c>
    </row>
    <row r="271" spans="1:9" x14ac:dyDescent="0.25">
      <c r="A271" s="44" t="str">
        <f t="shared" si="7"/>
        <v>235Enero2023</v>
      </c>
      <c r="B271" s="44">
        <v>18</v>
      </c>
      <c r="C271" s="44">
        <v>235</v>
      </c>
      <c r="D271" s="51" t="s">
        <v>33</v>
      </c>
      <c r="E271" s="44">
        <v>893</v>
      </c>
      <c r="F271" s="44">
        <v>1831</v>
      </c>
      <c r="G271" s="52">
        <f t="shared" si="6"/>
        <v>0.48771163298743858</v>
      </c>
      <c r="H271" s="44" t="s">
        <v>40</v>
      </c>
      <c r="I271" s="44">
        <v>2023</v>
      </c>
    </row>
    <row r="272" spans="1:9" x14ac:dyDescent="0.25">
      <c r="A272" s="44" t="str">
        <f t="shared" si="7"/>
        <v>239Enero2023</v>
      </c>
      <c r="B272" s="44">
        <v>19</v>
      </c>
      <c r="C272" s="44">
        <v>239</v>
      </c>
      <c r="D272" s="51" t="s">
        <v>32</v>
      </c>
      <c r="E272" s="44">
        <v>220</v>
      </c>
      <c r="F272" s="44">
        <v>815</v>
      </c>
      <c r="G272" s="52">
        <f t="shared" si="6"/>
        <v>0.26993865030674846</v>
      </c>
      <c r="H272" s="44" t="s">
        <v>40</v>
      </c>
      <c r="I272" s="44">
        <v>2023</v>
      </c>
    </row>
    <row r="273" spans="1:9" x14ac:dyDescent="0.25">
      <c r="A273" s="44" t="str">
        <f t="shared" si="7"/>
        <v>243Enero2023</v>
      </c>
      <c r="B273" s="44">
        <v>20</v>
      </c>
      <c r="C273" s="44">
        <v>243</v>
      </c>
      <c r="D273" s="51" t="s">
        <v>34</v>
      </c>
      <c r="E273" s="44">
        <v>188</v>
      </c>
      <c r="F273" s="44">
        <v>1693</v>
      </c>
      <c r="G273" s="52">
        <f t="shared" si="6"/>
        <v>0.11104548139397519</v>
      </c>
      <c r="H273" s="44" t="s">
        <v>40</v>
      </c>
      <c r="I273" s="44">
        <v>2023</v>
      </c>
    </row>
    <row r="274" spans="1:9" x14ac:dyDescent="0.25">
      <c r="A274" s="44" t="str">
        <f t="shared" si="7"/>
        <v>238Enero2023</v>
      </c>
      <c r="B274" s="44">
        <v>21</v>
      </c>
      <c r="C274" s="44">
        <v>238</v>
      </c>
      <c r="D274" s="51" t="s">
        <v>35</v>
      </c>
      <c r="E274" s="44">
        <v>13</v>
      </c>
      <c r="F274" s="44">
        <v>885</v>
      </c>
      <c r="G274" s="52">
        <f t="shared" si="6"/>
        <v>1.4689265536723164E-2</v>
      </c>
      <c r="H274" s="44" t="s">
        <v>40</v>
      </c>
      <c r="I274" s="44">
        <v>2023</v>
      </c>
    </row>
    <row r="275" spans="1:9" x14ac:dyDescent="0.25">
      <c r="A275" s="44" t="str">
        <f t="shared" si="7"/>
        <v>1557Febrero2023</v>
      </c>
      <c r="B275" s="44">
        <v>1</v>
      </c>
      <c r="C275" s="44">
        <v>1557</v>
      </c>
      <c r="D275" s="51" t="s">
        <v>12</v>
      </c>
      <c r="E275" s="44">
        <v>441</v>
      </c>
      <c r="F275" s="44">
        <v>442</v>
      </c>
      <c r="G275" s="52">
        <f t="shared" si="6"/>
        <v>0.99773755656108598</v>
      </c>
      <c r="H275" s="44" t="s">
        <v>41</v>
      </c>
      <c r="I275" s="44">
        <v>2023</v>
      </c>
    </row>
    <row r="276" spans="1:9" x14ac:dyDescent="0.25">
      <c r="A276" s="44" t="str">
        <f t="shared" si="7"/>
        <v>242Febrero2023</v>
      </c>
      <c r="B276" s="44">
        <v>2</v>
      </c>
      <c r="C276" s="44">
        <v>242</v>
      </c>
      <c r="D276" s="51" t="s">
        <v>7</v>
      </c>
      <c r="E276" s="44">
        <v>1357</v>
      </c>
      <c r="F276" s="44">
        <v>1363</v>
      </c>
      <c r="G276" s="52">
        <f t="shared" si="6"/>
        <v>0.99559794570799709</v>
      </c>
      <c r="H276" s="44" t="s">
        <v>41</v>
      </c>
      <c r="I276" s="44">
        <v>2023</v>
      </c>
    </row>
    <row r="277" spans="1:9" x14ac:dyDescent="0.25">
      <c r="A277" s="44" t="str">
        <f t="shared" si="7"/>
        <v>246Febrero2023</v>
      </c>
      <c r="B277" s="44">
        <v>3</v>
      </c>
      <c r="C277" s="44">
        <v>246</v>
      </c>
      <c r="D277" s="51" t="s">
        <v>9</v>
      </c>
      <c r="E277" s="44">
        <v>1487</v>
      </c>
      <c r="F277" s="44">
        <v>1502</v>
      </c>
      <c r="G277" s="52">
        <f t="shared" si="6"/>
        <v>0.99001331557922767</v>
      </c>
      <c r="H277" s="44" t="s">
        <v>41</v>
      </c>
      <c r="I277" s="44">
        <v>2023</v>
      </c>
    </row>
    <row r="278" spans="1:9" x14ac:dyDescent="0.25">
      <c r="A278" s="44" t="str">
        <f t="shared" si="7"/>
        <v>28745Febrero2023</v>
      </c>
      <c r="B278" s="44">
        <v>4</v>
      </c>
      <c r="C278" s="44">
        <v>28745</v>
      </c>
      <c r="D278" s="51" t="s">
        <v>6</v>
      </c>
      <c r="E278" s="44">
        <v>105</v>
      </c>
      <c r="F278" s="44">
        <v>107</v>
      </c>
      <c r="G278" s="52">
        <f t="shared" si="6"/>
        <v>0.98130841121495327</v>
      </c>
      <c r="H278" s="44" t="s">
        <v>41</v>
      </c>
      <c r="I278" s="44">
        <v>2023</v>
      </c>
    </row>
    <row r="279" spans="1:9" x14ac:dyDescent="0.25">
      <c r="A279" s="44" t="str">
        <f t="shared" si="7"/>
        <v>11117Febrero2023</v>
      </c>
      <c r="B279" s="44">
        <v>5</v>
      </c>
      <c r="C279" s="44">
        <v>11117</v>
      </c>
      <c r="D279" s="51" t="s">
        <v>15</v>
      </c>
      <c r="E279" s="44">
        <v>3778</v>
      </c>
      <c r="F279" s="44">
        <v>3877</v>
      </c>
      <c r="G279" s="52">
        <f t="shared" si="6"/>
        <v>0.97446479236523087</v>
      </c>
      <c r="H279" s="44" t="s">
        <v>41</v>
      </c>
      <c r="I279" s="44">
        <v>2023</v>
      </c>
    </row>
    <row r="280" spans="1:9" x14ac:dyDescent="0.25">
      <c r="A280" s="44" t="str">
        <f t="shared" si="7"/>
        <v>234Febrero2023</v>
      </c>
      <c r="B280" s="44">
        <v>6</v>
      </c>
      <c r="C280" s="44">
        <v>234</v>
      </c>
      <c r="D280" s="51" t="s">
        <v>18</v>
      </c>
      <c r="E280" s="44">
        <v>1678</v>
      </c>
      <c r="F280" s="44">
        <v>1738</v>
      </c>
      <c r="G280" s="52">
        <f t="shared" si="6"/>
        <v>0.96547756041426924</v>
      </c>
      <c r="H280" s="44" t="s">
        <v>41</v>
      </c>
      <c r="I280" s="44">
        <v>2023</v>
      </c>
    </row>
    <row r="281" spans="1:9" x14ac:dyDescent="0.25">
      <c r="A281" s="44" t="str">
        <f t="shared" si="7"/>
        <v>11882Febrero2023</v>
      </c>
      <c r="B281" s="44">
        <v>7</v>
      </c>
      <c r="C281" s="44">
        <v>11882</v>
      </c>
      <c r="D281" s="51" t="s">
        <v>22</v>
      </c>
      <c r="E281" s="44">
        <v>298</v>
      </c>
      <c r="F281" s="44">
        <v>314</v>
      </c>
      <c r="G281" s="52">
        <f t="shared" si="6"/>
        <v>0.94904458598726116</v>
      </c>
      <c r="H281" s="44" t="s">
        <v>41</v>
      </c>
      <c r="I281" s="44">
        <v>2023</v>
      </c>
    </row>
    <row r="282" spans="1:9" x14ac:dyDescent="0.25">
      <c r="A282" s="44" t="str">
        <f t="shared" si="7"/>
        <v>240Febrero2023</v>
      </c>
      <c r="B282" s="44">
        <v>8</v>
      </c>
      <c r="C282" s="44">
        <v>240</v>
      </c>
      <c r="D282" s="51" t="s">
        <v>23</v>
      </c>
      <c r="E282" s="44">
        <v>1386</v>
      </c>
      <c r="F282" s="44">
        <v>1468</v>
      </c>
      <c r="G282" s="52">
        <f t="shared" si="6"/>
        <v>0.94414168937329701</v>
      </c>
      <c r="H282" s="44" t="s">
        <v>41</v>
      </c>
      <c r="I282" s="44">
        <v>2023</v>
      </c>
    </row>
    <row r="283" spans="1:9" x14ac:dyDescent="0.25">
      <c r="A283" s="44" t="str">
        <f t="shared" si="7"/>
        <v>11799Febrero2023</v>
      </c>
      <c r="B283" s="44">
        <v>9</v>
      </c>
      <c r="C283" s="44">
        <v>11799</v>
      </c>
      <c r="D283" s="51" t="s">
        <v>21</v>
      </c>
      <c r="E283" s="44">
        <v>730</v>
      </c>
      <c r="F283" s="44">
        <v>783</v>
      </c>
      <c r="G283" s="52">
        <f t="shared" si="6"/>
        <v>0.9323116219667944</v>
      </c>
      <c r="H283" s="44" t="s">
        <v>41</v>
      </c>
      <c r="I283" s="44">
        <v>2023</v>
      </c>
    </row>
    <row r="284" spans="1:9" x14ac:dyDescent="0.25">
      <c r="A284" s="44" t="str">
        <f t="shared" si="7"/>
        <v>233Febrero2023</v>
      </c>
      <c r="B284" s="44">
        <v>10</v>
      </c>
      <c r="C284" s="44">
        <v>233</v>
      </c>
      <c r="D284" s="51" t="s">
        <v>27</v>
      </c>
      <c r="E284" s="44">
        <v>3494</v>
      </c>
      <c r="F284" s="44">
        <v>3920</v>
      </c>
      <c r="G284" s="52">
        <f t="shared" si="6"/>
        <v>0.89132653061224487</v>
      </c>
      <c r="H284" s="44" t="s">
        <v>41</v>
      </c>
      <c r="I284" s="44">
        <v>2023</v>
      </c>
    </row>
    <row r="285" spans="1:9" x14ac:dyDescent="0.25">
      <c r="A285" s="44" t="str">
        <f t="shared" si="7"/>
        <v>237Febrero2023</v>
      </c>
      <c r="B285" s="44">
        <v>11</v>
      </c>
      <c r="C285" s="44">
        <v>237</v>
      </c>
      <c r="D285" s="51" t="s">
        <v>31</v>
      </c>
      <c r="E285" s="44">
        <v>1366</v>
      </c>
      <c r="F285" s="44">
        <v>1541</v>
      </c>
      <c r="G285" s="52">
        <f t="shared" si="6"/>
        <v>0.88643737832576253</v>
      </c>
      <c r="H285" s="44" t="s">
        <v>41</v>
      </c>
      <c r="I285" s="44">
        <v>2023</v>
      </c>
    </row>
    <row r="286" spans="1:9" x14ac:dyDescent="0.25">
      <c r="A286" s="44" t="str">
        <f t="shared" si="7"/>
        <v>11116Febrero2023</v>
      </c>
      <c r="B286" s="44">
        <v>12</v>
      </c>
      <c r="C286" s="44">
        <v>11116</v>
      </c>
      <c r="D286" s="51" t="s">
        <v>28</v>
      </c>
      <c r="E286" s="44">
        <v>1864</v>
      </c>
      <c r="F286" s="44">
        <v>2147</v>
      </c>
      <c r="G286" s="52">
        <f t="shared" si="6"/>
        <v>0.86818816953889144</v>
      </c>
      <c r="H286" s="44" t="s">
        <v>41</v>
      </c>
      <c r="I286" s="44">
        <v>2023</v>
      </c>
    </row>
    <row r="287" spans="1:9" x14ac:dyDescent="0.25">
      <c r="A287" s="44" t="str">
        <f t="shared" si="7"/>
        <v>11931Febrero2023</v>
      </c>
      <c r="B287" s="44">
        <v>13</v>
      </c>
      <c r="C287" s="44">
        <v>11931</v>
      </c>
      <c r="D287" s="51" t="s">
        <v>39</v>
      </c>
      <c r="E287" s="44">
        <v>629</v>
      </c>
      <c r="F287" s="44">
        <v>721</v>
      </c>
      <c r="G287" s="52">
        <f t="shared" ref="G287:G318" si="8">E287/F287</f>
        <v>0.87239944521497914</v>
      </c>
      <c r="H287" s="44" t="s">
        <v>41</v>
      </c>
      <c r="I287" s="44">
        <v>2023</v>
      </c>
    </row>
    <row r="288" spans="1:9" x14ac:dyDescent="0.25">
      <c r="A288" s="44" t="str">
        <f t="shared" si="7"/>
        <v>10951Febrero2023</v>
      </c>
      <c r="B288" s="44">
        <v>14</v>
      </c>
      <c r="C288" s="44">
        <v>10951</v>
      </c>
      <c r="D288" s="51" t="s">
        <v>24</v>
      </c>
      <c r="E288" s="44">
        <v>486</v>
      </c>
      <c r="F288" s="44">
        <v>565</v>
      </c>
      <c r="G288" s="52">
        <f t="shared" si="8"/>
        <v>0.86017699115044244</v>
      </c>
      <c r="H288" s="44" t="s">
        <v>41</v>
      </c>
      <c r="I288" s="44">
        <v>2023</v>
      </c>
    </row>
    <row r="289" spans="1:9" x14ac:dyDescent="0.25">
      <c r="A289" s="44" t="str">
        <f t="shared" si="7"/>
        <v>239Febrero2023</v>
      </c>
      <c r="B289" s="44">
        <v>15</v>
      </c>
      <c r="C289" s="44">
        <v>239</v>
      </c>
      <c r="D289" s="51" t="s">
        <v>32</v>
      </c>
      <c r="E289" s="44">
        <v>1141</v>
      </c>
      <c r="F289" s="44">
        <v>1338</v>
      </c>
      <c r="G289" s="52">
        <f t="shared" si="8"/>
        <v>0.85276532137518679</v>
      </c>
      <c r="H289" s="44" t="s">
        <v>41</v>
      </c>
      <c r="I289" s="44">
        <v>2023</v>
      </c>
    </row>
    <row r="290" spans="1:9" x14ac:dyDescent="0.25">
      <c r="A290" s="44" t="str">
        <f t="shared" si="7"/>
        <v>10904Febrero2023</v>
      </c>
      <c r="B290" s="44">
        <v>16</v>
      </c>
      <c r="C290" s="44">
        <v>10904</v>
      </c>
      <c r="D290" s="51" t="s">
        <v>29</v>
      </c>
      <c r="E290" s="44">
        <v>668</v>
      </c>
      <c r="F290" s="44">
        <v>809</v>
      </c>
      <c r="G290" s="52">
        <f t="shared" si="8"/>
        <v>0.82571075401730532</v>
      </c>
      <c r="H290" s="44" t="s">
        <v>41</v>
      </c>
      <c r="I290" s="44">
        <v>2023</v>
      </c>
    </row>
    <row r="291" spans="1:9" x14ac:dyDescent="0.25">
      <c r="A291" s="44" t="str">
        <f t="shared" si="7"/>
        <v>241Febrero2023</v>
      </c>
      <c r="B291" s="44">
        <v>17</v>
      </c>
      <c r="C291" s="44">
        <v>241</v>
      </c>
      <c r="D291" s="51" t="s">
        <v>30</v>
      </c>
      <c r="E291" s="44">
        <v>367</v>
      </c>
      <c r="F291" s="44">
        <v>443</v>
      </c>
      <c r="G291" s="52">
        <f t="shared" si="8"/>
        <v>0.82844243792325056</v>
      </c>
      <c r="H291" s="44" t="s">
        <v>41</v>
      </c>
      <c r="I291" s="44">
        <v>2023</v>
      </c>
    </row>
    <row r="292" spans="1:9" x14ac:dyDescent="0.25">
      <c r="A292" s="44" t="str">
        <f t="shared" si="7"/>
        <v>236Febrero2023</v>
      </c>
      <c r="B292" s="44">
        <v>18</v>
      </c>
      <c r="C292" s="44">
        <v>236</v>
      </c>
      <c r="D292" s="51" t="s">
        <v>25</v>
      </c>
      <c r="E292" s="44">
        <v>682</v>
      </c>
      <c r="F292" s="44">
        <v>939</v>
      </c>
      <c r="G292" s="52">
        <f t="shared" si="8"/>
        <v>0.72630457933972314</v>
      </c>
      <c r="H292" s="44" t="s">
        <v>41</v>
      </c>
      <c r="I292" s="44">
        <v>2023</v>
      </c>
    </row>
    <row r="293" spans="1:9" x14ac:dyDescent="0.25">
      <c r="A293" s="44" t="str">
        <f t="shared" si="7"/>
        <v>235Febrero2023</v>
      </c>
      <c r="B293" s="44">
        <v>19</v>
      </c>
      <c r="C293" s="44">
        <v>235</v>
      </c>
      <c r="D293" s="51" t="s">
        <v>33</v>
      </c>
      <c r="E293" s="44">
        <v>1624</v>
      </c>
      <c r="F293" s="44">
        <v>2549</v>
      </c>
      <c r="G293" s="52">
        <f t="shared" si="8"/>
        <v>0.63711259317379365</v>
      </c>
      <c r="H293" s="44" t="s">
        <v>41</v>
      </c>
      <c r="I293" s="44">
        <v>2023</v>
      </c>
    </row>
    <row r="294" spans="1:9" x14ac:dyDescent="0.25">
      <c r="A294" s="44" t="str">
        <f t="shared" si="7"/>
        <v>243Febrero2023</v>
      </c>
      <c r="B294" s="44">
        <v>20</v>
      </c>
      <c r="C294" s="44">
        <v>243</v>
      </c>
      <c r="D294" s="51" t="s">
        <v>34</v>
      </c>
      <c r="E294" s="44">
        <v>1042</v>
      </c>
      <c r="F294" s="44">
        <v>2218</v>
      </c>
      <c r="G294" s="52">
        <f t="shared" si="8"/>
        <v>0.46979260595130751</v>
      </c>
      <c r="H294" s="44" t="s">
        <v>41</v>
      </c>
      <c r="I294" s="44">
        <v>2023</v>
      </c>
    </row>
    <row r="295" spans="1:9" x14ac:dyDescent="0.25">
      <c r="A295" s="44" t="str">
        <f t="shared" si="7"/>
        <v>238Febrero2023</v>
      </c>
      <c r="B295" s="44">
        <v>21</v>
      </c>
      <c r="C295" s="44">
        <v>238</v>
      </c>
      <c r="D295" s="51" t="s">
        <v>35</v>
      </c>
      <c r="E295" s="44">
        <v>6</v>
      </c>
      <c r="F295" s="44">
        <v>277</v>
      </c>
      <c r="G295" s="52">
        <f t="shared" si="8"/>
        <v>2.1660649819494584E-2</v>
      </c>
      <c r="H295" s="44" t="s">
        <v>41</v>
      </c>
      <c r="I295" s="44">
        <v>2023</v>
      </c>
    </row>
    <row r="296" spans="1:9" x14ac:dyDescent="0.25">
      <c r="A296" s="44" t="str">
        <f t="shared" si="7"/>
        <v>1557Marzo2023</v>
      </c>
      <c r="B296" s="44">
        <v>1</v>
      </c>
      <c r="C296" s="44">
        <v>1557</v>
      </c>
      <c r="D296" s="51" t="s">
        <v>12</v>
      </c>
      <c r="E296" s="44">
        <v>1273</v>
      </c>
      <c r="F296" s="44">
        <v>1275</v>
      </c>
      <c r="G296" s="52">
        <f t="shared" si="8"/>
        <v>0.99843137254901959</v>
      </c>
      <c r="H296" s="44" t="s">
        <v>42</v>
      </c>
      <c r="I296" s="44">
        <v>2023</v>
      </c>
    </row>
    <row r="297" spans="1:9" x14ac:dyDescent="0.25">
      <c r="A297" s="44" t="str">
        <f t="shared" si="7"/>
        <v>28745Marzo2023</v>
      </c>
      <c r="B297" s="44">
        <v>2</v>
      </c>
      <c r="C297" s="44">
        <v>28745</v>
      </c>
      <c r="D297" s="51" t="s">
        <v>6</v>
      </c>
      <c r="E297" s="44">
        <v>336</v>
      </c>
      <c r="F297" s="44">
        <v>336</v>
      </c>
      <c r="G297" s="52">
        <f t="shared" si="8"/>
        <v>1</v>
      </c>
      <c r="H297" s="44" t="s">
        <v>42</v>
      </c>
      <c r="I297" s="44">
        <v>2023</v>
      </c>
    </row>
    <row r="298" spans="1:9" x14ac:dyDescent="0.25">
      <c r="A298" s="44" t="str">
        <f t="shared" si="7"/>
        <v>246Marzo2023</v>
      </c>
      <c r="B298" s="44">
        <v>3</v>
      </c>
      <c r="C298" s="44">
        <v>246</v>
      </c>
      <c r="D298" s="51" t="s">
        <v>9</v>
      </c>
      <c r="E298" s="44">
        <v>2886</v>
      </c>
      <c r="F298" s="44">
        <v>2918</v>
      </c>
      <c r="G298" s="52">
        <f t="shared" si="8"/>
        <v>0.98903358464701852</v>
      </c>
      <c r="H298" s="44" t="s">
        <v>42</v>
      </c>
      <c r="I298" s="44">
        <v>2023</v>
      </c>
    </row>
    <row r="299" spans="1:9" x14ac:dyDescent="0.25">
      <c r="A299" s="44" t="str">
        <f t="shared" si="7"/>
        <v>11117Marzo2023</v>
      </c>
      <c r="B299" s="44">
        <v>4</v>
      </c>
      <c r="C299" s="44">
        <v>11117</v>
      </c>
      <c r="D299" s="51" t="s">
        <v>15</v>
      </c>
      <c r="E299" s="44">
        <v>8588</v>
      </c>
      <c r="F299" s="44">
        <v>8750</v>
      </c>
      <c r="G299" s="52">
        <f t="shared" si="8"/>
        <v>0.98148571428571429</v>
      </c>
      <c r="H299" s="44" t="s">
        <v>42</v>
      </c>
      <c r="I299" s="44">
        <v>2023</v>
      </c>
    </row>
    <row r="300" spans="1:9" x14ac:dyDescent="0.25">
      <c r="A300" s="44" t="str">
        <f t="shared" si="7"/>
        <v>236Marzo2023</v>
      </c>
      <c r="B300" s="44">
        <v>5</v>
      </c>
      <c r="C300" s="44">
        <v>236</v>
      </c>
      <c r="D300" s="51" t="s">
        <v>25</v>
      </c>
      <c r="E300" s="44">
        <v>3310</v>
      </c>
      <c r="F300" s="44">
        <v>3361</v>
      </c>
      <c r="G300" s="52">
        <f t="shared" si="8"/>
        <v>0.9848259446593276</v>
      </c>
      <c r="H300" s="44" t="s">
        <v>42</v>
      </c>
      <c r="I300" s="44">
        <v>2023</v>
      </c>
    </row>
    <row r="301" spans="1:9" x14ac:dyDescent="0.25">
      <c r="A301" s="44" t="str">
        <f t="shared" si="7"/>
        <v>10951Marzo2023</v>
      </c>
      <c r="B301" s="44">
        <v>6</v>
      </c>
      <c r="C301" s="44">
        <v>10951</v>
      </c>
      <c r="D301" s="51" t="s">
        <v>24</v>
      </c>
      <c r="E301" s="44">
        <v>1736</v>
      </c>
      <c r="F301" s="44">
        <v>1811</v>
      </c>
      <c r="G301" s="52">
        <f t="shared" si="8"/>
        <v>0.95858641634456099</v>
      </c>
      <c r="H301" s="44" t="s">
        <v>42</v>
      </c>
      <c r="I301" s="44">
        <v>2023</v>
      </c>
    </row>
    <row r="302" spans="1:9" x14ac:dyDescent="0.25">
      <c r="A302" s="44" t="str">
        <f t="shared" si="7"/>
        <v>234Marzo2023</v>
      </c>
      <c r="B302" s="44">
        <v>7</v>
      </c>
      <c r="C302" s="44">
        <v>234</v>
      </c>
      <c r="D302" s="51" t="s">
        <v>18</v>
      </c>
      <c r="E302" s="44">
        <v>3801</v>
      </c>
      <c r="F302" s="44">
        <v>3976</v>
      </c>
      <c r="G302" s="52">
        <f t="shared" si="8"/>
        <v>0.95598591549295775</v>
      </c>
      <c r="H302" s="44" t="s">
        <v>42</v>
      </c>
      <c r="I302" s="44">
        <v>2023</v>
      </c>
    </row>
    <row r="303" spans="1:9" x14ac:dyDescent="0.25">
      <c r="A303" s="44" t="str">
        <f t="shared" si="7"/>
        <v>11799Marzo2023</v>
      </c>
      <c r="B303" s="44">
        <v>8</v>
      </c>
      <c r="C303" s="44">
        <v>11799</v>
      </c>
      <c r="D303" s="51" t="s">
        <v>21</v>
      </c>
      <c r="E303" s="44">
        <v>1640</v>
      </c>
      <c r="F303" s="44">
        <v>1726</v>
      </c>
      <c r="G303" s="52">
        <f t="shared" si="8"/>
        <v>0.95017381228273468</v>
      </c>
      <c r="H303" s="44" t="s">
        <v>42</v>
      </c>
      <c r="I303" s="44">
        <v>2023</v>
      </c>
    </row>
    <row r="304" spans="1:9" x14ac:dyDescent="0.25">
      <c r="A304" s="44" t="str">
        <f t="shared" si="7"/>
        <v>11116Marzo2023</v>
      </c>
      <c r="B304" s="44">
        <v>9</v>
      </c>
      <c r="C304" s="44">
        <v>11116</v>
      </c>
      <c r="D304" s="51" t="s">
        <v>28</v>
      </c>
      <c r="E304" s="44">
        <v>6831</v>
      </c>
      <c r="F304" s="44">
        <v>7463</v>
      </c>
      <c r="G304" s="52">
        <f t="shared" si="8"/>
        <v>0.91531555674661669</v>
      </c>
      <c r="H304" s="44" t="s">
        <v>42</v>
      </c>
      <c r="I304" s="44">
        <v>2023</v>
      </c>
    </row>
    <row r="305" spans="1:9" x14ac:dyDescent="0.25">
      <c r="A305" s="44" t="str">
        <f t="shared" si="7"/>
        <v>233Marzo2023</v>
      </c>
      <c r="B305" s="44">
        <v>10</v>
      </c>
      <c r="C305" s="44">
        <v>233</v>
      </c>
      <c r="D305" s="51" t="s">
        <v>27</v>
      </c>
      <c r="E305" s="44">
        <v>6334</v>
      </c>
      <c r="F305" s="44">
        <v>6880</v>
      </c>
      <c r="G305" s="52">
        <f t="shared" si="8"/>
        <v>0.92063953488372097</v>
      </c>
      <c r="H305" s="44" t="s">
        <v>42</v>
      </c>
      <c r="I305" s="44">
        <v>2023</v>
      </c>
    </row>
    <row r="306" spans="1:9" x14ac:dyDescent="0.25">
      <c r="A306" s="44" t="str">
        <f t="shared" si="7"/>
        <v>239Marzo2023</v>
      </c>
      <c r="B306" s="44">
        <v>11</v>
      </c>
      <c r="C306" s="44">
        <v>239</v>
      </c>
      <c r="D306" s="51" t="s">
        <v>32</v>
      </c>
      <c r="E306" s="44">
        <v>3929</v>
      </c>
      <c r="F306" s="44">
        <v>4309</v>
      </c>
      <c r="G306" s="52">
        <f t="shared" si="8"/>
        <v>0.91181248549547456</v>
      </c>
      <c r="H306" s="44" t="s">
        <v>42</v>
      </c>
      <c r="I306" s="44">
        <v>2023</v>
      </c>
    </row>
    <row r="307" spans="1:9" x14ac:dyDescent="0.25">
      <c r="A307" s="44" t="str">
        <f t="shared" si="7"/>
        <v>11931Marzo2023</v>
      </c>
      <c r="B307" s="44">
        <v>12</v>
      </c>
      <c r="C307" s="44">
        <v>11931</v>
      </c>
      <c r="D307" s="51" t="s">
        <v>39</v>
      </c>
      <c r="E307" s="44">
        <v>1775</v>
      </c>
      <c r="F307" s="44">
        <v>1971</v>
      </c>
      <c r="G307" s="52">
        <f t="shared" si="8"/>
        <v>0.90055809233891426</v>
      </c>
      <c r="H307" s="44" t="s">
        <v>42</v>
      </c>
      <c r="I307" s="44">
        <v>2023</v>
      </c>
    </row>
    <row r="308" spans="1:9" x14ac:dyDescent="0.25">
      <c r="A308" s="44" t="str">
        <f t="shared" si="7"/>
        <v>11882Marzo2023</v>
      </c>
      <c r="B308" s="44">
        <v>13</v>
      </c>
      <c r="C308" s="44">
        <v>11882</v>
      </c>
      <c r="D308" s="51" t="s">
        <v>22</v>
      </c>
      <c r="E308" s="44">
        <v>1365</v>
      </c>
      <c r="F308" s="44">
        <v>1536</v>
      </c>
      <c r="G308" s="52">
        <f t="shared" si="8"/>
        <v>0.888671875</v>
      </c>
      <c r="H308" s="44" t="s">
        <v>42</v>
      </c>
      <c r="I308" s="44">
        <v>2023</v>
      </c>
    </row>
    <row r="309" spans="1:9" x14ac:dyDescent="0.25">
      <c r="A309" s="44" t="str">
        <f t="shared" si="7"/>
        <v>241Marzo2023</v>
      </c>
      <c r="B309" s="44">
        <v>14</v>
      </c>
      <c r="C309" s="44">
        <v>241</v>
      </c>
      <c r="D309" s="51" t="s">
        <v>30</v>
      </c>
      <c r="E309" s="44">
        <v>2240</v>
      </c>
      <c r="F309" s="44">
        <v>2513</v>
      </c>
      <c r="G309" s="52">
        <f t="shared" si="8"/>
        <v>0.89136490250696376</v>
      </c>
      <c r="H309" s="44" t="s">
        <v>42</v>
      </c>
      <c r="I309" s="44">
        <v>2023</v>
      </c>
    </row>
    <row r="310" spans="1:9" x14ac:dyDescent="0.25">
      <c r="A310" s="44" t="str">
        <f t="shared" si="7"/>
        <v>10904Marzo2023</v>
      </c>
      <c r="B310" s="44">
        <v>15</v>
      </c>
      <c r="C310" s="44">
        <v>10904</v>
      </c>
      <c r="D310" s="51" t="s">
        <v>29</v>
      </c>
      <c r="E310" s="44">
        <v>1415</v>
      </c>
      <c r="F310" s="44">
        <v>1604</v>
      </c>
      <c r="G310" s="52">
        <f t="shared" si="8"/>
        <v>0.88216957605985036</v>
      </c>
      <c r="H310" s="44" t="s">
        <v>42</v>
      </c>
      <c r="I310" s="44">
        <v>2023</v>
      </c>
    </row>
    <row r="311" spans="1:9" x14ac:dyDescent="0.25">
      <c r="A311" s="44" t="str">
        <f t="shared" si="7"/>
        <v>243Marzo2023</v>
      </c>
      <c r="B311" s="44">
        <v>16</v>
      </c>
      <c r="C311" s="44">
        <v>243</v>
      </c>
      <c r="D311" s="51" t="s">
        <v>34</v>
      </c>
      <c r="E311" s="44">
        <v>2661</v>
      </c>
      <c r="F311" s="44">
        <v>3142</v>
      </c>
      <c r="G311" s="52">
        <f t="shared" si="8"/>
        <v>0.84691279439847234</v>
      </c>
      <c r="H311" s="44" t="s">
        <v>42</v>
      </c>
      <c r="I311" s="44">
        <v>2023</v>
      </c>
    </row>
    <row r="312" spans="1:9" x14ac:dyDescent="0.25">
      <c r="A312" s="44" t="str">
        <f t="shared" si="7"/>
        <v>242Marzo2023</v>
      </c>
      <c r="B312" s="44">
        <v>17</v>
      </c>
      <c r="C312" s="44">
        <v>242</v>
      </c>
      <c r="D312" s="51" t="s">
        <v>7</v>
      </c>
      <c r="E312" s="44">
        <v>3501</v>
      </c>
      <c r="F312" s="44">
        <v>4211</v>
      </c>
      <c r="G312" s="52">
        <f t="shared" si="8"/>
        <v>0.83139396817857991</v>
      </c>
      <c r="H312" s="44" t="s">
        <v>42</v>
      </c>
      <c r="I312" s="44">
        <v>2023</v>
      </c>
    </row>
    <row r="313" spans="1:9" x14ac:dyDescent="0.25">
      <c r="A313" s="44" t="str">
        <f t="shared" si="7"/>
        <v>235Marzo2023</v>
      </c>
      <c r="B313" s="44">
        <v>18</v>
      </c>
      <c r="C313" s="44">
        <v>235</v>
      </c>
      <c r="D313" s="51" t="s">
        <v>33</v>
      </c>
      <c r="E313" s="44">
        <v>3243</v>
      </c>
      <c r="F313" s="44">
        <v>4265</v>
      </c>
      <c r="G313" s="52">
        <f t="shared" si="8"/>
        <v>0.76037514654161786</v>
      </c>
      <c r="H313" s="44" t="s">
        <v>42</v>
      </c>
      <c r="I313" s="44">
        <v>2023</v>
      </c>
    </row>
    <row r="314" spans="1:9" x14ac:dyDescent="0.25">
      <c r="A314" s="44" t="str">
        <f t="shared" si="7"/>
        <v>237Marzo2023</v>
      </c>
      <c r="B314" s="44">
        <v>19</v>
      </c>
      <c r="C314" s="44">
        <v>237</v>
      </c>
      <c r="D314" s="51" t="s">
        <v>31</v>
      </c>
      <c r="E314" s="44">
        <v>3196</v>
      </c>
      <c r="F314" s="44">
        <v>4618</v>
      </c>
      <c r="G314" s="52">
        <f t="shared" si="8"/>
        <v>0.69207449112169772</v>
      </c>
      <c r="H314" s="44" t="s">
        <v>42</v>
      </c>
      <c r="I314" s="44">
        <v>2023</v>
      </c>
    </row>
    <row r="315" spans="1:9" x14ac:dyDescent="0.25">
      <c r="A315" s="44" t="str">
        <f t="shared" si="7"/>
        <v>240Marzo2023</v>
      </c>
      <c r="B315" s="44">
        <v>20</v>
      </c>
      <c r="C315" s="44">
        <v>240</v>
      </c>
      <c r="D315" s="51" t="s">
        <v>23</v>
      </c>
      <c r="E315" s="44">
        <v>2208</v>
      </c>
      <c r="F315" s="44">
        <v>3304</v>
      </c>
      <c r="G315" s="52">
        <f t="shared" si="8"/>
        <v>0.66828087167070216</v>
      </c>
      <c r="H315" s="44" t="s">
        <v>42</v>
      </c>
      <c r="I315" s="44">
        <v>2023</v>
      </c>
    </row>
    <row r="316" spans="1:9" x14ac:dyDescent="0.25">
      <c r="A316" s="44" t="str">
        <f t="shared" si="7"/>
        <v>238Marzo2023</v>
      </c>
      <c r="B316" s="44">
        <v>21</v>
      </c>
      <c r="C316" s="44">
        <v>238</v>
      </c>
      <c r="D316" s="51" t="s">
        <v>35</v>
      </c>
      <c r="E316" s="44">
        <v>1721</v>
      </c>
      <c r="F316" s="44">
        <v>2690</v>
      </c>
      <c r="G316" s="52">
        <f t="shared" si="8"/>
        <v>0.63977695167286242</v>
      </c>
      <c r="H316" s="44" t="s">
        <v>42</v>
      </c>
      <c r="I316" s="44">
        <v>2023</v>
      </c>
    </row>
    <row r="317" spans="1:9" x14ac:dyDescent="0.25">
      <c r="A317" s="44" t="str">
        <f t="shared" si="7"/>
        <v>1557Abril2023</v>
      </c>
      <c r="B317" s="44">
        <v>1</v>
      </c>
      <c r="C317" s="44">
        <v>1557</v>
      </c>
      <c r="D317" s="51" t="s">
        <v>12</v>
      </c>
      <c r="E317" s="44">
        <v>1459</v>
      </c>
      <c r="F317" s="44">
        <v>1464</v>
      </c>
      <c r="G317" s="52">
        <f t="shared" si="8"/>
        <v>0.99658469945355188</v>
      </c>
      <c r="H317" s="44" t="s">
        <v>43</v>
      </c>
      <c r="I317" s="44">
        <v>2023</v>
      </c>
    </row>
    <row r="318" spans="1:9" x14ac:dyDescent="0.25">
      <c r="A318" s="44" t="str">
        <f t="shared" si="7"/>
        <v>28745Abril2023</v>
      </c>
      <c r="B318" s="44">
        <v>2</v>
      </c>
      <c r="C318" s="44">
        <v>28745</v>
      </c>
      <c r="D318" s="51" t="s">
        <v>6</v>
      </c>
      <c r="E318" s="44">
        <v>484</v>
      </c>
      <c r="F318" s="44">
        <v>486</v>
      </c>
      <c r="G318" s="52">
        <f t="shared" si="8"/>
        <v>0.99588477366255146</v>
      </c>
      <c r="H318" s="44" t="s">
        <v>43</v>
      </c>
      <c r="I318" s="44">
        <v>2023</v>
      </c>
    </row>
    <row r="319" spans="1:9" x14ac:dyDescent="0.25">
      <c r="A319" s="44" t="str">
        <f t="shared" si="7"/>
        <v>242Abril2023</v>
      </c>
      <c r="B319" s="44">
        <v>3</v>
      </c>
      <c r="C319" s="44">
        <v>242</v>
      </c>
      <c r="D319" s="51" t="s">
        <v>7</v>
      </c>
      <c r="E319" s="44">
        <v>3435</v>
      </c>
      <c r="F319" s="44">
        <v>3463</v>
      </c>
      <c r="G319" s="52">
        <f t="shared" ref="G319:G350" si="9">E319/F319</f>
        <v>0.99191452497834243</v>
      </c>
      <c r="H319" s="44" t="s">
        <v>43</v>
      </c>
      <c r="I319" s="44">
        <v>2023</v>
      </c>
    </row>
    <row r="320" spans="1:9" x14ac:dyDescent="0.25">
      <c r="A320" s="44" t="str">
        <f t="shared" si="7"/>
        <v>246Abril2023</v>
      </c>
      <c r="B320" s="44">
        <v>4</v>
      </c>
      <c r="C320" s="44">
        <v>246</v>
      </c>
      <c r="D320" s="51" t="s">
        <v>9</v>
      </c>
      <c r="E320" s="44">
        <v>2795</v>
      </c>
      <c r="F320" s="44">
        <v>2813</v>
      </c>
      <c r="G320" s="52">
        <f t="shared" si="9"/>
        <v>0.99360113757554214</v>
      </c>
      <c r="H320" s="44" t="s">
        <v>43</v>
      </c>
      <c r="I320" s="44">
        <v>2023</v>
      </c>
    </row>
    <row r="321" spans="1:9" x14ac:dyDescent="0.25">
      <c r="A321" s="44" t="str">
        <f t="shared" si="7"/>
        <v>11117Abril2023</v>
      </c>
      <c r="B321" s="44">
        <v>5</v>
      </c>
      <c r="C321" s="44">
        <v>11117</v>
      </c>
      <c r="D321" s="51" t="s">
        <v>15</v>
      </c>
      <c r="E321" s="44">
        <v>8605</v>
      </c>
      <c r="F321" s="44">
        <v>8830</v>
      </c>
      <c r="G321" s="52">
        <f t="shared" si="9"/>
        <v>0.97451868629671579</v>
      </c>
      <c r="H321" s="44" t="s">
        <v>43</v>
      </c>
      <c r="I321" s="44">
        <v>2023</v>
      </c>
    </row>
    <row r="322" spans="1:9" x14ac:dyDescent="0.25">
      <c r="A322" s="44" t="str">
        <f t="shared" ref="A322:A385" si="10">C322&amp;H322&amp;I322</f>
        <v>234Abril2023</v>
      </c>
      <c r="B322" s="44">
        <v>6</v>
      </c>
      <c r="C322" s="44">
        <v>234</v>
      </c>
      <c r="D322" s="51" t="s">
        <v>18</v>
      </c>
      <c r="E322" s="44">
        <v>3269</v>
      </c>
      <c r="F322" s="44">
        <v>3391</v>
      </c>
      <c r="G322" s="52">
        <f t="shared" si="9"/>
        <v>0.96402241226776764</v>
      </c>
      <c r="H322" s="44" t="s">
        <v>43</v>
      </c>
      <c r="I322" s="44">
        <v>2023</v>
      </c>
    </row>
    <row r="323" spans="1:9" x14ac:dyDescent="0.25">
      <c r="A323" s="44" t="str">
        <f t="shared" si="10"/>
        <v>236Abril2023</v>
      </c>
      <c r="B323" s="44">
        <v>7</v>
      </c>
      <c r="C323" s="44">
        <v>236</v>
      </c>
      <c r="D323" s="51" t="s">
        <v>25</v>
      </c>
      <c r="E323" s="44">
        <v>3746</v>
      </c>
      <c r="F323" s="44">
        <v>3910</v>
      </c>
      <c r="G323" s="52">
        <f t="shared" si="9"/>
        <v>0.95805626598465476</v>
      </c>
      <c r="H323" s="44" t="s">
        <v>43</v>
      </c>
      <c r="I323" s="44">
        <v>2023</v>
      </c>
    </row>
    <row r="324" spans="1:9" x14ac:dyDescent="0.25">
      <c r="A324" s="44" t="str">
        <f t="shared" si="10"/>
        <v>10951Abril2023</v>
      </c>
      <c r="B324" s="44">
        <v>8</v>
      </c>
      <c r="C324" s="44">
        <v>10951</v>
      </c>
      <c r="D324" s="51" t="s">
        <v>24</v>
      </c>
      <c r="E324" s="44">
        <v>1404</v>
      </c>
      <c r="F324" s="44">
        <v>1475</v>
      </c>
      <c r="G324" s="52">
        <f t="shared" si="9"/>
        <v>0.951864406779661</v>
      </c>
      <c r="H324" s="44" t="s">
        <v>43</v>
      </c>
      <c r="I324" s="44">
        <v>2023</v>
      </c>
    </row>
    <row r="325" spans="1:9" x14ac:dyDescent="0.25">
      <c r="A325" s="44" t="str">
        <f t="shared" si="10"/>
        <v>11799Abril2023</v>
      </c>
      <c r="B325" s="44">
        <v>9</v>
      </c>
      <c r="C325" s="44">
        <v>11799</v>
      </c>
      <c r="D325" s="51" t="s">
        <v>21</v>
      </c>
      <c r="E325" s="44">
        <v>1631</v>
      </c>
      <c r="F325" s="44">
        <v>1712</v>
      </c>
      <c r="G325" s="52">
        <f t="shared" si="9"/>
        <v>0.95268691588785048</v>
      </c>
      <c r="H325" s="44" t="s">
        <v>43</v>
      </c>
      <c r="I325" s="44">
        <v>2023</v>
      </c>
    </row>
    <row r="326" spans="1:9" x14ac:dyDescent="0.25">
      <c r="A326" s="44" t="str">
        <f t="shared" si="10"/>
        <v>240Abril2023</v>
      </c>
      <c r="B326" s="44">
        <v>10</v>
      </c>
      <c r="C326" s="44">
        <v>240</v>
      </c>
      <c r="D326" s="51" t="s">
        <v>23</v>
      </c>
      <c r="E326" s="44">
        <v>2502</v>
      </c>
      <c r="F326" s="44">
        <v>2636</v>
      </c>
      <c r="G326" s="52">
        <f t="shared" si="9"/>
        <v>0.9491654021244309</v>
      </c>
      <c r="H326" s="44" t="s">
        <v>43</v>
      </c>
      <c r="I326" s="44">
        <v>2023</v>
      </c>
    </row>
    <row r="327" spans="1:9" x14ac:dyDescent="0.25">
      <c r="A327" s="44" t="str">
        <f t="shared" si="10"/>
        <v>11116Abril2023</v>
      </c>
      <c r="B327" s="44">
        <v>11</v>
      </c>
      <c r="C327" s="44">
        <v>11116</v>
      </c>
      <c r="D327" s="51" t="s">
        <v>28</v>
      </c>
      <c r="E327" s="44">
        <v>6837</v>
      </c>
      <c r="F327" s="44">
        <v>7410</v>
      </c>
      <c r="G327" s="52">
        <f t="shared" si="9"/>
        <v>0.92267206477732788</v>
      </c>
      <c r="H327" s="44" t="s">
        <v>43</v>
      </c>
      <c r="I327" s="44">
        <v>2023</v>
      </c>
    </row>
    <row r="328" spans="1:9" x14ac:dyDescent="0.25">
      <c r="A328" s="44" t="str">
        <f t="shared" si="10"/>
        <v>241Abril2023</v>
      </c>
      <c r="B328" s="44">
        <v>12</v>
      </c>
      <c r="C328" s="44">
        <v>241</v>
      </c>
      <c r="D328" s="51" t="s">
        <v>30</v>
      </c>
      <c r="E328" s="44">
        <v>2633</v>
      </c>
      <c r="F328" s="44">
        <v>2856</v>
      </c>
      <c r="G328" s="52">
        <f t="shared" si="9"/>
        <v>0.92191876750700286</v>
      </c>
      <c r="H328" s="44" t="s">
        <v>43</v>
      </c>
      <c r="I328" s="44">
        <v>2023</v>
      </c>
    </row>
    <row r="329" spans="1:9" x14ac:dyDescent="0.25">
      <c r="A329" s="44" t="str">
        <f t="shared" si="10"/>
        <v>243Abril2023</v>
      </c>
      <c r="B329" s="44">
        <v>13</v>
      </c>
      <c r="C329" s="44">
        <v>243</v>
      </c>
      <c r="D329" s="51" t="s">
        <v>34</v>
      </c>
      <c r="E329" s="44">
        <v>2951</v>
      </c>
      <c r="F329" s="44">
        <v>3198</v>
      </c>
      <c r="G329" s="52">
        <f t="shared" si="9"/>
        <v>0.92276422764227639</v>
      </c>
      <c r="H329" s="44" t="s">
        <v>43</v>
      </c>
      <c r="I329" s="44">
        <v>2023</v>
      </c>
    </row>
    <row r="330" spans="1:9" x14ac:dyDescent="0.25">
      <c r="A330" s="44" t="str">
        <f t="shared" si="10"/>
        <v>11931Abril2023</v>
      </c>
      <c r="B330" s="44">
        <v>14</v>
      </c>
      <c r="C330" s="44">
        <v>11931</v>
      </c>
      <c r="D330" s="51" t="s">
        <v>39</v>
      </c>
      <c r="E330" s="44">
        <v>1696</v>
      </c>
      <c r="F330" s="44">
        <v>1869</v>
      </c>
      <c r="G330" s="52">
        <f t="shared" si="9"/>
        <v>0.90743713215623323</v>
      </c>
      <c r="H330" s="44" t="s">
        <v>43</v>
      </c>
      <c r="I330" s="44">
        <v>2023</v>
      </c>
    </row>
    <row r="331" spans="1:9" x14ac:dyDescent="0.25">
      <c r="A331" s="44" t="str">
        <f t="shared" si="10"/>
        <v>10904Abril2023</v>
      </c>
      <c r="B331" s="44">
        <v>15</v>
      </c>
      <c r="C331" s="44">
        <v>10904</v>
      </c>
      <c r="D331" s="51" t="s">
        <v>29</v>
      </c>
      <c r="E331" s="44">
        <v>1055</v>
      </c>
      <c r="F331" s="44">
        <v>1177</v>
      </c>
      <c r="G331" s="52">
        <f t="shared" si="9"/>
        <v>0.89634664401019537</v>
      </c>
      <c r="H331" s="44" t="s">
        <v>43</v>
      </c>
      <c r="I331" s="44">
        <v>2023</v>
      </c>
    </row>
    <row r="332" spans="1:9" x14ac:dyDescent="0.25">
      <c r="A332" s="44" t="str">
        <f t="shared" si="10"/>
        <v>11882Abril2023</v>
      </c>
      <c r="B332" s="44">
        <v>16</v>
      </c>
      <c r="C332" s="44">
        <v>11882</v>
      </c>
      <c r="D332" s="51" t="s">
        <v>22</v>
      </c>
      <c r="E332" s="44">
        <v>993</v>
      </c>
      <c r="F332" s="44">
        <v>1098</v>
      </c>
      <c r="G332" s="52">
        <f t="shared" si="9"/>
        <v>0.90437158469945356</v>
      </c>
      <c r="H332" s="44" t="s">
        <v>43</v>
      </c>
      <c r="I332" s="44">
        <v>2023</v>
      </c>
    </row>
    <row r="333" spans="1:9" x14ac:dyDescent="0.25">
      <c r="A333" s="44" t="str">
        <f t="shared" si="10"/>
        <v>233Abril2023</v>
      </c>
      <c r="B333" s="44">
        <v>17</v>
      </c>
      <c r="C333" s="44">
        <v>233</v>
      </c>
      <c r="D333" s="51" t="s">
        <v>27</v>
      </c>
      <c r="E333" s="44">
        <v>5768</v>
      </c>
      <c r="F333" s="44">
        <v>6576</v>
      </c>
      <c r="G333" s="52">
        <f t="shared" si="9"/>
        <v>0.87712895377128952</v>
      </c>
      <c r="H333" s="44" t="s">
        <v>43</v>
      </c>
      <c r="I333" s="44">
        <v>2023</v>
      </c>
    </row>
    <row r="334" spans="1:9" x14ac:dyDescent="0.25">
      <c r="A334" s="44" t="str">
        <f t="shared" si="10"/>
        <v>238Abril2023</v>
      </c>
      <c r="B334" s="44">
        <v>18</v>
      </c>
      <c r="C334" s="44">
        <v>238</v>
      </c>
      <c r="D334" s="51" t="s">
        <v>35</v>
      </c>
      <c r="E334" s="44">
        <v>1306</v>
      </c>
      <c r="F334" s="44">
        <v>1483</v>
      </c>
      <c r="G334" s="52">
        <f t="shared" si="9"/>
        <v>0.88064733648010785</v>
      </c>
      <c r="H334" s="44" t="s">
        <v>43</v>
      </c>
      <c r="I334" s="44">
        <v>2023</v>
      </c>
    </row>
    <row r="335" spans="1:9" x14ac:dyDescent="0.25">
      <c r="A335" s="44" t="str">
        <f t="shared" si="10"/>
        <v>235Abril2023</v>
      </c>
      <c r="B335" s="44">
        <v>19</v>
      </c>
      <c r="C335" s="44">
        <v>235</v>
      </c>
      <c r="D335" s="51" t="s">
        <v>33</v>
      </c>
      <c r="E335" s="44">
        <v>3427</v>
      </c>
      <c r="F335" s="44">
        <v>4578</v>
      </c>
      <c r="G335" s="52">
        <f t="shared" si="9"/>
        <v>0.74858016601135868</v>
      </c>
      <c r="H335" s="44" t="s">
        <v>43</v>
      </c>
      <c r="I335" s="44">
        <v>2023</v>
      </c>
    </row>
    <row r="336" spans="1:9" x14ac:dyDescent="0.25">
      <c r="A336" s="44" t="str">
        <f t="shared" si="10"/>
        <v>237Abril2023</v>
      </c>
      <c r="B336" s="44">
        <v>20</v>
      </c>
      <c r="C336" s="44">
        <v>237</v>
      </c>
      <c r="D336" s="51" t="s">
        <v>31</v>
      </c>
      <c r="E336" s="44">
        <v>1475</v>
      </c>
      <c r="F336" s="44">
        <v>2406</v>
      </c>
      <c r="G336" s="52">
        <f t="shared" si="9"/>
        <v>0.61305070656691607</v>
      </c>
      <c r="H336" s="44" t="s">
        <v>43</v>
      </c>
      <c r="I336" s="44">
        <v>2023</v>
      </c>
    </row>
    <row r="337" spans="1:9" x14ac:dyDescent="0.25">
      <c r="A337" s="44" t="str">
        <f t="shared" si="10"/>
        <v>239Abril2023</v>
      </c>
      <c r="B337" s="44">
        <v>21</v>
      </c>
      <c r="C337" s="44">
        <v>239</v>
      </c>
      <c r="D337" s="51" t="s">
        <v>32</v>
      </c>
      <c r="E337" s="44">
        <v>234</v>
      </c>
      <c r="F337" s="44">
        <v>2010</v>
      </c>
      <c r="G337" s="52">
        <f t="shared" si="9"/>
        <v>0.11641791044776119</v>
      </c>
      <c r="H337" s="44" t="s">
        <v>43</v>
      </c>
      <c r="I337" s="44">
        <v>2023</v>
      </c>
    </row>
    <row r="338" spans="1:9" x14ac:dyDescent="0.25">
      <c r="A338" s="44" t="str">
        <f t="shared" si="10"/>
        <v>1557Mayo2023</v>
      </c>
      <c r="B338" s="44">
        <v>1</v>
      </c>
      <c r="C338" s="44">
        <v>1557</v>
      </c>
      <c r="D338" s="51" t="s">
        <v>12</v>
      </c>
      <c r="E338" s="44">
        <v>812</v>
      </c>
      <c r="F338" s="44">
        <v>812</v>
      </c>
      <c r="G338" s="52">
        <f t="shared" si="9"/>
        <v>1</v>
      </c>
      <c r="H338" s="44" t="s">
        <v>44</v>
      </c>
      <c r="I338" s="44">
        <v>2023</v>
      </c>
    </row>
    <row r="339" spans="1:9" x14ac:dyDescent="0.25">
      <c r="A339" s="44" t="str">
        <f t="shared" si="10"/>
        <v>236Mayo2023</v>
      </c>
      <c r="B339" s="44">
        <v>2</v>
      </c>
      <c r="C339" s="44">
        <v>236</v>
      </c>
      <c r="D339" s="51" t="s">
        <v>25</v>
      </c>
      <c r="E339" s="44">
        <v>2274</v>
      </c>
      <c r="F339" s="44">
        <v>2290</v>
      </c>
      <c r="G339" s="52">
        <f t="shared" si="9"/>
        <v>0.99301310043668123</v>
      </c>
      <c r="H339" s="44" t="s">
        <v>44</v>
      </c>
      <c r="I339" s="44">
        <v>2023</v>
      </c>
    </row>
    <row r="340" spans="1:9" x14ac:dyDescent="0.25">
      <c r="A340" s="44" t="str">
        <f t="shared" si="10"/>
        <v>241Mayo2023</v>
      </c>
      <c r="B340" s="44">
        <v>3</v>
      </c>
      <c r="C340" s="44">
        <v>241</v>
      </c>
      <c r="D340" s="51" t="s">
        <v>30</v>
      </c>
      <c r="E340" s="44">
        <v>1406</v>
      </c>
      <c r="F340" s="44">
        <v>1420</v>
      </c>
      <c r="G340" s="52">
        <f t="shared" si="9"/>
        <v>0.99014084507042255</v>
      </c>
      <c r="H340" s="44" t="s">
        <v>44</v>
      </c>
      <c r="I340" s="44">
        <v>2023</v>
      </c>
    </row>
    <row r="341" spans="1:9" x14ac:dyDescent="0.25">
      <c r="A341" s="44" t="str">
        <f t="shared" si="10"/>
        <v>242Mayo2023</v>
      </c>
      <c r="B341" s="44">
        <v>4</v>
      </c>
      <c r="C341" s="44">
        <v>242</v>
      </c>
      <c r="D341" s="51" t="s">
        <v>7</v>
      </c>
      <c r="E341" s="44">
        <v>2527</v>
      </c>
      <c r="F341" s="44">
        <v>2543</v>
      </c>
      <c r="G341" s="52">
        <f t="shared" si="9"/>
        <v>0.99370821863940229</v>
      </c>
      <c r="H341" s="44" t="s">
        <v>44</v>
      </c>
      <c r="I341" s="44">
        <v>2023</v>
      </c>
    </row>
    <row r="342" spans="1:9" x14ac:dyDescent="0.25">
      <c r="A342" s="44" t="str">
        <f t="shared" si="10"/>
        <v>246Mayo2023</v>
      </c>
      <c r="B342" s="44">
        <v>5</v>
      </c>
      <c r="C342" s="44">
        <v>246</v>
      </c>
      <c r="D342" s="51" t="s">
        <v>9</v>
      </c>
      <c r="E342" s="44">
        <v>1456</v>
      </c>
      <c r="F342" s="44">
        <v>1468</v>
      </c>
      <c r="G342" s="52">
        <f t="shared" si="9"/>
        <v>0.99182561307901906</v>
      </c>
      <c r="H342" s="44" t="s">
        <v>44</v>
      </c>
      <c r="I342" s="44">
        <v>2023</v>
      </c>
    </row>
    <row r="343" spans="1:9" x14ac:dyDescent="0.25">
      <c r="A343" s="44" t="str">
        <f t="shared" si="10"/>
        <v>28745Mayo2023</v>
      </c>
      <c r="B343" s="44">
        <v>6</v>
      </c>
      <c r="C343" s="44">
        <v>28745</v>
      </c>
      <c r="D343" s="51" t="s">
        <v>6</v>
      </c>
      <c r="E343" s="44">
        <v>320</v>
      </c>
      <c r="F343" s="44">
        <v>322</v>
      </c>
      <c r="G343" s="52">
        <f t="shared" si="9"/>
        <v>0.99378881987577639</v>
      </c>
      <c r="H343" s="44" t="s">
        <v>44</v>
      </c>
      <c r="I343" s="44">
        <v>2023</v>
      </c>
    </row>
    <row r="344" spans="1:9" x14ac:dyDescent="0.25">
      <c r="A344" s="44" t="str">
        <f t="shared" si="10"/>
        <v>10951Mayo2023</v>
      </c>
      <c r="B344" s="44">
        <v>7</v>
      </c>
      <c r="C344" s="44">
        <v>10951</v>
      </c>
      <c r="D344" s="51" t="s">
        <v>24</v>
      </c>
      <c r="E344" s="44">
        <v>1338</v>
      </c>
      <c r="F344" s="44">
        <v>1383</v>
      </c>
      <c r="G344" s="52">
        <f t="shared" si="9"/>
        <v>0.96746203904555317</v>
      </c>
      <c r="H344" s="44" t="s">
        <v>44</v>
      </c>
      <c r="I344" s="44">
        <v>2023</v>
      </c>
    </row>
    <row r="345" spans="1:9" x14ac:dyDescent="0.25">
      <c r="A345" s="44" t="str">
        <f t="shared" si="10"/>
        <v>11882Mayo2023</v>
      </c>
      <c r="B345" s="44">
        <v>8</v>
      </c>
      <c r="C345" s="44">
        <v>11882</v>
      </c>
      <c r="D345" s="51" t="s">
        <v>22</v>
      </c>
      <c r="E345" s="44">
        <v>503</v>
      </c>
      <c r="F345" s="44">
        <v>516</v>
      </c>
      <c r="G345" s="52">
        <f t="shared" si="9"/>
        <v>0.97480620155038755</v>
      </c>
      <c r="H345" s="44" t="s">
        <v>44</v>
      </c>
      <c r="I345" s="44">
        <v>2023</v>
      </c>
    </row>
    <row r="346" spans="1:9" x14ac:dyDescent="0.25">
      <c r="A346" s="44" t="str">
        <f t="shared" si="10"/>
        <v>11117Mayo2023</v>
      </c>
      <c r="B346" s="44">
        <v>9</v>
      </c>
      <c r="C346" s="44">
        <v>11117</v>
      </c>
      <c r="D346" s="51" t="s">
        <v>15</v>
      </c>
      <c r="E346" s="44">
        <v>7170</v>
      </c>
      <c r="F346" s="44">
        <v>7457</v>
      </c>
      <c r="G346" s="52">
        <f t="shared" si="9"/>
        <v>0.96151267265656426</v>
      </c>
      <c r="H346" s="44" t="s">
        <v>44</v>
      </c>
      <c r="I346" s="44">
        <v>2023</v>
      </c>
    </row>
    <row r="347" spans="1:9" x14ac:dyDescent="0.25">
      <c r="A347" s="44" t="str">
        <f t="shared" si="10"/>
        <v>234Mayo2023</v>
      </c>
      <c r="B347" s="44">
        <v>10</v>
      </c>
      <c r="C347" s="44">
        <v>234</v>
      </c>
      <c r="D347" s="51" t="s">
        <v>18</v>
      </c>
      <c r="E347" s="44">
        <v>2416</v>
      </c>
      <c r="F347" s="44">
        <v>2532</v>
      </c>
      <c r="G347" s="52">
        <f t="shared" si="9"/>
        <v>0.95418641390205372</v>
      </c>
      <c r="H347" s="44" t="s">
        <v>44</v>
      </c>
      <c r="I347" s="44">
        <v>2023</v>
      </c>
    </row>
    <row r="348" spans="1:9" x14ac:dyDescent="0.25">
      <c r="A348" s="44" t="str">
        <f t="shared" si="10"/>
        <v>240Mayo2023</v>
      </c>
      <c r="B348" s="44">
        <v>11</v>
      </c>
      <c r="C348" s="44">
        <v>240</v>
      </c>
      <c r="D348" s="51" t="s">
        <v>23</v>
      </c>
      <c r="E348" s="44">
        <v>2299</v>
      </c>
      <c r="F348" s="44">
        <v>2454</v>
      </c>
      <c r="G348" s="52">
        <f t="shared" si="9"/>
        <v>0.93683781581092096</v>
      </c>
      <c r="H348" s="44" t="s">
        <v>44</v>
      </c>
      <c r="I348" s="44">
        <v>2023</v>
      </c>
    </row>
    <row r="349" spans="1:9" x14ac:dyDescent="0.25">
      <c r="A349" s="44" t="str">
        <f t="shared" si="10"/>
        <v>11116Mayo2023</v>
      </c>
      <c r="B349" s="44">
        <v>12</v>
      </c>
      <c r="C349" s="44">
        <v>11116</v>
      </c>
      <c r="D349" s="51" t="s">
        <v>28</v>
      </c>
      <c r="E349" s="44">
        <v>7588</v>
      </c>
      <c r="F349" s="44">
        <v>8311</v>
      </c>
      <c r="G349" s="52">
        <f t="shared" si="9"/>
        <v>0.91300685838045958</v>
      </c>
      <c r="H349" s="44" t="s">
        <v>44</v>
      </c>
      <c r="I349" s="44">
        <v>2023</v>
      </c>
    </row>
    <row r="350" spans="1:9" x14ac:dyDescent="0.25">
      <c r="A350" s="44" t="str">
        <f t="shared" si="10"/>
        <v>238Mayo2023</v>
      </c>
      <c r="B350" s="44">
        <v>13</v>
      </c>
      <c r="C350" s="44">
        <v>238</v>
      </c>
      <c r="D350" s="51" t="s">
        <v>35</v>
      </c>
      <c r="E350" s="44">
        <v>1527</v>
      </c>
      <c r="F350" s="44">
        <v>1685</v>
      </c>
      <c r="G350" s="52">
        <f t="shared" si="9"/>
        <v>0.90623145400593474</v>
      </c>
      <c r="H350" s="44" t="s">
        <v>44</v>
      </c>
      <c r="I350" s="44">
        <v>2023</v>
      </c>
    </row>
    <row r="351" spans="1:9" x14ac:dyDescent="0.25">
      <c r="A351" s="44" t="str">
        <f t="shared" si="10"/>
        <v>11931Mayo2023</v>
      </c>
      <c r="B351" s="44">
        <v>14</v>
      </c>
      <c r="C351" s="44">
        <v>11931</v>
      </c>
      <c r="D351" s="51" t="s">
        <v>39</v>
      </c>
      <c r="E351" s="44">
        <v>1930</v>
      </c>
      <c r="F351" s="44">
        <v>2176</v>
      </c>
      <c r="G351" s="52">
        <f t="shared" ref="G351:G379" si="11">E351/F351</f>
        <v>0.88694852941176472</v>
      </c>
      <c r="H351" s="44" t="s">
        <v>44</v>
      </c>
      <c r="I351" s="44">
        <v>2023</v>
      </c>
    </row>
    <row r="352" spans="1:9" x14ac:dyDescent="0.25">
      <c r="A352" s="44" t="str">
        <f t="shared" si="10"/>
        <v>10904Mayo2023</v>
      </c>
      <c r="B352" s="44">
        <v>15</v>
      </c>
      <c r="C352" s="44">
        <v>10904</v>
      </c>
      <c r="D352" s="51" t="s">
        <v>29</v>
      </c>
      <c r="E352" s="44">
        <v>999</v>
      </c>
      <c r="F352" s="44">
        <v>1177</v>
      </c>
      <c r="G352" s="52">
        <f t="shared" si="11"/>
        <v>0.84876805437553104</v>
      </c>
      <c r="H352" s="44" t="s">
        <v>44</v>
      </c>
      <c r="I352" s="44">
        <v>2023</v>
      </c>
    </row>
    <row r="353" spans="1:9" x14ac:dyDescent="0.25">
      <c r="A353" s="44" t="str">
        <f t="shared" si="10"/>
        <v>11799Mayo2023</v>
      </c>
      <c r="B353" s="44">
        <v>16</v>
      </c>
      <c r="C353" s="44">
        <v>11799</v>
      </c>
      <c r="D353" s="51" t="s">
        <v>21</v>
      </c>
      <c r="E353" s="44">
        <v>1013</v>
      </c>
      <c r="F353" s="44">
        <v>1217</v>
      </c>
      <c r="G353" s="52">
        <f t="shared" si="11"/>
        <v>0.83237469186524238</v>
      </c>
      <c r="H353" s="44" t="s">
        <v>44</v>
      </c>
      <c r="I353" s="44">
        <v>2023</v>
      </c>
    </row>
    <row r="354" spans="1:9" x14ac:dyDescent="0.25">
      <c r="A354" s="44" t="str">
        <f t="shared" si="10"/>
        <v>235Mayo2023</v>
      </c>
      <c r="B354" s="44">
        <v>17</v>
      </c>
      <c r="C354" s="44">
        <v>235</v>
      </c>
      <c r="D354" s="51" t="s">
        <v>33</v>
      </c>
      <c r="E354" s="44">
        <v>2208</v>
      </c>
      <c r="F354" s="44">
        <v>2663</v>
      </c>
      <c r="G354" s="52">
        <f t="shared" si="11"/>
        <v>0.82914006759294034</v>
      </c>
      <c r="H354" s="44" t="s">
        <v>44</v>
      </c>
      <c r="I354" s="44">
        <v>2023</v>
      </c>
    </row>
    <row r="355" spans="1:9" x14ac:dyDescent="0.25">
      <c r="A355" s="44" t="str">
        <f t="shared" si="10"/>
        <v>233Mayo2023</v>
      </c>
      <c r="B355" s="44">
        <v>18</v>
      </c>
      <c r="C355" s="44">
        <v>233</v>
      </c>
      <c r="D355" s="51" t="s">
        <v>27</v>
      </c>
      <c r="E355" s="44">
        <v>4337</v>
      </c>
      <c r="F355" s="44">
        <v>5517</v>
      </c>
      <c r="G355" s="52">
        <f t="shared" si="11"/>
        <v>0.78611564255936195</v>
      </c>
      <c r="H355" s="44" t="s">
        <v>44</v>
      </c>
      <c r="I355" s="44">
        <v>2023</v>
      </c>
    </row>
    <row r="356" spans="1:9" x14ac:dyDescent="0.25">
      <c r="A356" s="44" t="str">
        <f t="shared" si="10"/>
        <v>243Mayo2023</v>
      </c>
      <c r="B356" s="44">
        <v>19</v>
      </c>
      <c r="C356" s="44">
        <v>243</v>
      </c>
      <c r="D356" s="51" t="s">
        <v>34</v>
      </c>
      <c r="E356" s="44">
        <v>1703</v>
      </c>
      <c r="F356" s="44">
        <v>2390</v>
      </c>
      <c r="G356" s="52">
        <f t="shared" si="11"/>
        <v>0.71255230125523017</v>
      </c>
      <c r="H356" s="44" t="s">
        <v>44</v>
      </c>
      <c r="I356" s="44">
        <v>2023</v>
      </c>
    </row>
    <row r="357" spans="1:9" x14ac:dyDescent="0.25">
      <c r="A357" s="44" t="str">
        <f t="shared" si="10"/>
        <v>239Mayo2023</v>
      </c>
      <c r="B357" s="44">
        <v>20</v>
      </c>
      <c r="C357" s="44">
        <v>239</v>
      </c>
      <c r="D357" s="51" t="s">
        <v>32</v>
      </c>
      <c r="E357" s="44">
        <v>2000</v>
      </c>
      <c r="F357" s="44">
        <v>3612</v>
      </c>
      <c r="G357" s="52">
        <f t="shared" si="11"/>
        <v>0.55370985603543743</v>
      </c>
      <c r="H357" s="44" t="s">
        <v>44</v>
      </c>
      <c r="I357" s="44">
        <v>2023</v>
      </c>
    </row>
    <row r="358" spans="1:9" x14ac:dyDescent="0.25">
      <c r="A358" s="44" t="str">
        <f t="shared" si="10"/>
        <v>237Mayo2023</v>
      </c>
      <c r="B358" s="44">
        <v>21</v>
      </c>
      <c r="C358" s="44">
        <v>237</v>
      </c>
      <c r="D358" s="51" t="s">
        <v>31</v>
      </c>
      <c r="E358" s="44">
        <v>2312</v>
      </c>
      <c r="F358" s="44">
        <v>4837</v>
      </c>
      <c r="G358" s="52">
        <f t="shared" si="11"/>
        <v>0.47798222038453586</v>
      </c>
      <c r="H358" s="44" t="s">
        <v>44</v>
      </c>
      <c r="I358" s="44">
        <v>2023</v>
      </c>
    </row>
    <row r="359" spans="1:9" x14ac:dyDescent="0.25">
      <c r="A359" s="44" t="str">
        <f t="shared" si="10"/>
        <v>242Junio2023</v>
      </c>
      <c r="B359" s="44">
        <v>1</v>
      </c>
      <c r="C359" s="44">
        <v>242</v>
      </c>
      <c r="D359" s="51" t="s">
        <v>7</v>
      </c>
      <c r="E359" s="44">
        <v>2763</v>
      </c>
      <c r="F359" s="44">
        <v>2776</v>
      </c>
      <c r="G359" s="52">
        <f t="shared" si="11"/>
        <v>0.99531700288184433</v>
      </c>
      <c r="H359" s="44" t="s">
        <v>45</v>
      </c>
      <c r="I359" s="44">
        <v>2023</v>
      </c>
    </row>
    <row r="360" spans="1:9" x14ac:dyDescent="0.25">
      <c r="A360" s="44" t="str">
        <f t="shared" si="10"/>
        <v>1557Junio2023</v>
      </c>
      <c r="B360" s="44">
        <v>2</v>
      </c>
      <c r="C360" s="44">
        <v>1557</v>
      </c>
      <c r="D360" s="51" t="s">
        <v>12</v>
      </c>
      <c r="E360" s="44">
        <v>1154</v>
      </c>
      <c r="F360" s="44">
        <v>1168</v>
      </c>
      <c r="G360" s="52">
        <f t="shared" si="11"/>
        <v>0.98801369863013699</v>
      </c>
      <c r="H360" s="44" t="s">
        <v>45</v>
      </c>
      <c r="I360" s="44">
        <v>2023</v>
      </c>
    </row>
    <row r="361" spans="1:9" x14ac:dyDescent="0.25">
      <c r="A361" s="44" t="str">
        <f t="shared" si="10"/>
        <v>236Junio2023</v>
      </c>
      <c r="B361" s="44">
        <v>3</v>
      </c>
      <c r="C361" s="44">
        <v>236</v>
      </c>
      <c r="D361" s="51" t="s">
        <v>25</v>
      </c>
      <c r="E361" s="44">
        <v>3378</v>
      </c>
      <c r="F361" s="44">
        <v>3429</v>
      </c>
      <c r="G361" s="52">
        <f t="shared" si="11"/>
        <v>0.98512685914260723</v>
      </c>
      <c r="H361" s="44" t="s">
        <v>45</v>
      </c>
      <c r="I361" s="44">
        <v>2023</v>
      </c>
    </row>
    <row r="362" spans="1:9" x14ac:dyDescent="0.25">
      <c r="A362" s="44" t="str">
        <f t="shared" si="10"/>
        <v>246Junio2023</v>
      </c>
      <c r="B362" s="44">
        <v>4</v>
      </c>
      <c r="C362" s="44">
        <v>246</v>
      </c>
      <c r="D362" s="51" t="s">
        <v>9</v>
      </c>
      <c r="E362" s="44">
        <v>2564</v>
      </c>
      <c r="F362" s="44">
        <v>2579</v>
      </c>
      <c r="G362" s="52">
        <f t="shared" si="11"/>
        <v>0.99418379216750674</v>
      </c>
      <c r="H362" s="44" t="s">
        <v>45</v>
      </c>
      <c r="I362" s="44">
        <v>2023</v>
      </c>
    </row>
    <row r="363" spans="1:9" x14ac:dyDescent="0.25">
      <c r="A363" s="44" t="str">
        <f t="shared" si="10"/>
        <v>28745Junio2023</v>
      </c>
      <c r="B363" s="44">
        <v>5</v>
      </c>
      <c r="C363" s="44">
        <v>28745</v>
      </c>
      <c r="D363" s="51" t="s">
        <v>6</v>
      </c>
      <c r="E363" s="44">
        <v>362</v>
      </c>
      <c r="F363" s="44">
        <v>366</v>
      </c>
      <c r="G363" s="52">
        <f t="shared" si="11"/>
        <v>0.98907103825136611</v>
      </c>
      <c r="H363" s="44" t="s">
        <v>45</v>
      </c>
      <c r="I363" s="44">
        <v>2023</v>
      </c>
    </row>
    <row r="364" spans="1:9" x14ac:dyDescent="0.25">
      <c r="A364" s="44" t="str">
        <f t="shared" si="10"/>
        <v>11799Junio2023</v>
      </c>
      <c r="B364" s="44">
        <v>6</v>
      </c>
      <c r="C364" s="44">
        <v>11799</v>
      </c>
      <c r="D364" s="51" t="s">
        <v>21</v>
      </c>
      <c r="E364" s="44">
        <v>1419</v>
      </c>
      <c r="F364" s="44">
        <v>1445</v>
      </c>
      <c r="G364" s="52">
        <f t="shared" si="11"/>
        <v>0.98200692041522486</v>
      </c>
      <c r="H364" s="44" t="s">
        <v>45</v>
      </c>
      <c r="I364" s="44">
        <v>2023</v>
      </c>
    </row>
    <row r="365" spans="1:9" x14ac:dyDescent="0.25">
      <c r="A365" s="44" t="str">
        <f t="shared" si="10"/>
        <v>11117Junio2023</v>
      </c>
      <c r="B365" s="44">
        <v>7</v>
      </c>
      <c r="C365" s="44">
        <v>11117</v>
      </c>
      <c r="D365" s="51" t="s">
        <v>15</v>
      </c>
      <c r="E365" s="44">
        <v>8794</v>
      </c>
      <c r="F365" s="44">
        <v>9058</v>
      </c>
      <c r="G365" s="52">
        <f t="shared" si="11"/>
        <v>0.97085449326562157</v>
      </c>
      <c r="H365" s="44" t="s">
        <v>45</v>
      </c>
      <c r="I365" s="44">
        <v>2023</v>
      </c>
    </row>
    <row r="366" spans="1:9" x14ac:dyDescent="0.25">
      <c r="A366" s="44" t="str">
        <f t="shared" si="10"/>
        <v>241Junio2023</v>
      </c>
      <c r="B366" s="44">
        <v>8</v>
      </c>
      <c r="C366" s="44">
        <v>241</v>
      </c>
      <c r="D366" s="51" t="s">
        <v>30</v>
      </c>
      <c r="E366" s="44">
        <v>1944</v>
      </c>
      <c r="F366" s="44">
        <v>2044</v>
      </c>
      <c r="G366" s="52">
        <f t="shared" si="11"/>
        <v>0.95107632093933459</v>
      </c>
      <c r="H366" s="44" t="s">
        <v>45</v>
      </c>
      <c r="I366" s="44">
        <v>2023</v>
      </c>
    </row>
    <row r="367" spans="1:9" x14ac:dyDescent="0.25">
      <c r="A367" s="44" t="str">
        <f t="shared" si="10"/>
        <v>10951Junio2023</v>
      </c>
      <c r="B367" s="44">
        <v>9</v>
      </c>
      <c r="C367" s="44">
        <v>10951</v>
      </c>
      <c r="D367" s="51" t="s">
        <v>24</v>
      </c>
      <c r="E367" s="44">
        <v>1165</v>
      </c>
      <c r="F367" s="44">
        <v>1236</v>
      </c>
      <c r="G367" s="52">
        <f t="shared" si="11"/>
        <v>0.94255663430420711</v>
      </c>
      <c r="H367" s="44" t="s">
        <v>45</v>
      </c>
      <c r="I367" s="44">
        <v>2023</v>
      </c>
    </row>
    <row r="368" spans="1:9" x14ac:dyDescent="0.25">
      <c r="A368" s="44" t="str">
        <f t="shared" si="10"/>
        <v>11882Junio2023</v>
      </c>
      <c r="B368" s="44">
        <v>10</v>
      </c>
      <c r="C368" s="44">
        <v>11882</v>
      </c>
      <c r="D368" s="51" t="s">
        <v>22</v>
      </c>
      <c r="E368" s="44">
        <v>720</v>
      </c>
      <c r="F368" s="44">
        <v>762</v>
      </c>
      <c r="G368" s="52">
        <f t="shared" si="11"/>
        <v>0.94488188976377951</v>
      </c>
      <c r="H368" s="44" t="s">
        <v>45</v>
      </c>
      <c r="I368" s="44">
        <v>2023</v>
      </c>
    </row>
    <row r="369" spans="1:9" x14ac:dyDescent="0.25">
      <c r="A369" s="44" t="str">
        <f t="shared" si="10"/>
        <v>11116Junio2023</v>
      </c>
      <c r="B369" s="44">
        <v>11</v>
      </c>
      <c r="C369" s="44">
        <v>11116</v>
      </c>
      <c r="D369" s="51" t="s">
        <v>28</v>
      </c>
      <c r="E369" s="44">
        <v>6749</v>
      </c>
      <c r="F369" s="44">
        <v>7494</v>
      </c>
      <c r="G369" s="52">
        <f t="shared" si="11"/>
        <v>0.90058713637576726</v>
      </c>
      <c r="H369" s="44" t="s">
        <v>45</v>
      </c>
      <c r="I369" s="44">
        <v>2023</v>
      </c>
    </row>
    <row r="370" spans="1:9" x14ac:dyDescent="0.25">
      <c r="A370" s="44" t="str">
        <f t="shared" si="10"/>
        <v>11931Junio2023</v>
      </c>
      <c r="B370" s="44">
        <v>12</v>
      </c>
      <c r="C370" s="44">
        <v>11931</v>
      </c>
      <c r="D370" s="51" t="s">
        <v>26</v>
      </c>
      <c r="E370" s="44">
        <v>1644</v>
      </c>
      <c r="F370" s="44">
        <v>1840</v>
      </c>
      <c r="G370" s="52">
        <f t="shared" si="11"/>
        <v>0.89347826086956517</v>
      </c>
      <c r="H370" s="44" t="s">
        <v>45</v>
      </c>
      <c r="I370" s="44">
        <v>2023</v>
      </c>
    </row>
    <row r="371" spans="1:9" x14ac:dyDescent="0.25">
      <c r="A371" s="44" t="str">
        <f t="shared" si="10"/>
        <v>243Junio2023</v>
      </c>
      <c r="B371" s="44">
        <v>13</v>
      </c>
      <c r="C371" s="44">
        <v>243</v>
      </c>
      <c r="D371" s="51" t="s">
        <v>34</v>
      </c>
      <c r="E371" s="44">
        <v>3219</v>
      </c>
      <c r="F371" s="44">
        <v>3654</v>
      </c>
      <c r="G371" s="52">
        <f t="shared" si="11"/>
        <v>0.88095238095238093</v>
      </c>
      <c r="H371" s="44" t="s">
        <v>45</v>
      </c>
      <c r="I371" s="44">
        <v>2023</v>
      </c>
    </row>
    <row r="372" spans="1:9" x14ac:dyDescent="0.25">
      <c r="A372" s="44" t="str">
        <f t="shared" si="10"/>
        <v>240Junio2023</v>
      </c>
      <c r="B372" s="44">
        <v>14</v>
      </c>
      <c r="C372" s="44">
        <v>240</v>
      </c>
      <c r="D372" s="51" t="s">
        <v>23</v>
      </c>
      <c r="E372" s="44">
        <v>1696</v>
      </c>
      <c r="F372" s="44">
        <v>1949</v>
      </c>
      <c r="G372" s="52">
        <f t="shared" si="11"/>
        <v>0.87018984094407392</v>
      </c>
      <c r="H372" s="44" t="s">
        <v>45</v>
      </c>
      <c r="I372" s="44">
        <v>2023</v>
      </c>
    </row>
    <row r="373" spans="1:9" x14ac:dyDescent="0.25">
      <c r="A373" s="44" t="str">
        <f t="shared" si="10"/>
        <v>238Junio2023</v>
      </c>
      <c r="B373" s="44">
        <v>15</v>
      </c>
      <c r="C373" s="44">
        <v>238</v>
      </c>
      <c r="D373" s="51" t="s">
        <v>35</v>
      </c>
      <c r="E373" s="44">
        <v>1117</v>
      </c>
      <c r="F373" s="44">
        <v>1298</v>
      </c>
      <c r="G373" s="52">
        <f t="shared" si="11"/>
        <v>0.86055469953775043</v>
      </c>
      <c r="H373" s="44" t="s">
        <v>45</v>
      </c>
      <c r="I373" s="44">
        <v>2023</v>
      </c>
    </row>
    <row r="374" spans="1:9" x14ac:dyDescent="0.25">
      <c r="A374" s="44" t="str">
        <f t="shared" si="10"/>
        <v>237Junio2023</v>
      </c>
      <c r="B374" s="44">
        <v>16</v>
      </c>
      <c r="C374" s="44">
        <v>237</v>
      </c>
      <c r="D374" s="51" t="s">
        <v>31</v>
      </c>
      <c r="E374" s="44">
        <v>3444</v>
      </c>
      <c r="F374" s="44">
        <v>4044</v>
      </c>
      <c r="G374" s="52">
        <f t="shared" si="11"/>
        <v>0.85163204747774479</v>
      </c>
      <c r="H374" s="44" t="s">
        <v>45</v>
      </c>
      <c r="I374" s="44">
        <v>2023</v>
      </c>
    </row>
    <row r="375" spans="1:9" x14ac:dyDescent="0.25">
      <c r="A375" s="44" t="str">
        <f t="shared" si="10"/>
        <v>234Junio2023</v>
      </c>
      <c r="B375" s="44">
        <v>17</v>
      </c>
      <c r="C375" s="44">
        <v>234</v>
      </c>
      <c r="D375" s="51" t="s">
        <v>18</v>
      </c>
      <c r="E375" s="44">
        <v>2956</v>
      </c>
      <c r="F375" s="44">
        <v>3567</v>
      </c>
      <c r="G375" s="52">
        <f t="shared" si="11"/>
        <v>0.8287075974208018</v>
      </c>
      <c r="H375" s="44" t="s">
        <v>45</v>
      </c>
      <c r="I375" s="44">
        <v>2023</v>
      </c>
    </row>
    <row r="376" spans="1:9" x14ac:dyDescent="0.25">
      <c r="A376" s="44" t="str">
        <f t="shared" si="10"/>
        <v>10904Junio2023</v>
      </c>
      <c r="B376" s="44">
        <v>18</v>
      </c>
      <c r="C376" s="44">
        <v>10904</v>
      </c>
      <c r="D376" s="51" t="s">
        <v>29</v>
      </c>
      <c r="E376" s="44">
        <v>834</v>
      </c>
      <c r="F376" s="44">
        <v>1015</v>
      </c>
      <c r="G376" s="52">
        <f t="shared" si="11"/>
        <v>0.82167487684729068</v>
      </c>
      <c r="H376" s="44" t="s">
        <v>45</v>
      </c>
      <c r="I376" s="44">
        <v>2023</v>
      </c>
    </row>
    <row r="377" spans="1:9" x14ac:dyDescent="0.25">
      <c r="A377" s="44" t="str">
        <f t="shared" si="10"/>
        <v>239Junio2023</v>
      </c>
      <c r="B377" s="44">
        <v>19</v>
      </c>
      <c r="C377" s="44">
        <v>239</v>
      </c>
      <c r="D377" s="51" t="s">
        <v>32</v>
      </c>
      <c r="E377" s="44">
        <v>2213</v>
      </c>
      <c r="F377" s="44">
        <v>2861</v>
      </c>
      <c r="G377" s="52">
        <f t="shared" si="11"/>
        <v>0.77350576721426079</v>
      </c>
      <c r="H377" s="44" t="s">
        <v>45</v>
      </c>
      <c r="I377" s="44">
        <v>2023</v>
      </c>
    </row>
    <row r="378" spans="1:9" x14ac:dyDescent="0.25">
      <c r="A378" s="44" t="str">
        <f t="shared" si="10"/>
        <v>233Junio2023</v>
      </c>
      <c r="B378" s="44">
        <v>20</v>
      </c>
      <c r="C378" s="44">
        <v>233</v>
      </c>
      <c r="D378" s="51" t="s">
        <v>27</v>
      </c>
      <c r="E378" s="44">
        <v>5122</v>
      </c>
      <c r="F378" s="44">
        <v>7007</v>
      </c>
      <c r="G378" s="52">
        <f t="shared" si="11"/>
        <v>0.73098330241187381</v>
      </c>
      <c r="H378" s="44" t="s">
        <v>45</v>
      </c>
      <c r="I378" s="44">
        <v>2023</v>
      </c>
    </row>
    <row r="379" spans="1:9" x14ac:dyDescent="0.25">
      <c r="A379" s="44" t="str">
        <f t="shared" si="10"/>
        <v>235Junio2023</v>
      </c>
      <c r="B379" s="44">
        <v>21</v>
      </c>
      <c r="C379" s="44">
        <v>235</v>
      </c>
      <c r="D379" s="51" t="s">
        <v>33</v>
      </c>
      <c r="E379" s="44">
        <v>115</v>
      </c>
      <c r="F379" s="44">
        <v>609</v>
      </c>
      <c r="G379" s="52">
        <f t="shared" si="11"/>
        <v>0.18883415435139572</v>
      </c>
      <c r="H379" s="44" t="s">
        <v>45</v>
      </c>
      <c r="I379" s="44">
        <v>2023</v>
      </c>
    </row>
    <row r="380" spans="1:9" x14ac:dyDescent="0.25">
      <c r="A380" s="44" t="str">
        <f t="shared" si="10"/>
        <v>1557Julio2023</v>
      </c>
      <c r="B380" s="44">
        <v>1</v>
      </c>
      <c r="C380" s="44">
        <v>1557</v>
      </c>
      <c r="D380" s="51" t="s">
        <v>12</v>
      </c>
      <c r="E380" s="44">
        <v>991</v>
      </c>
      <c r="F380" s="44">
        <v>994</v>
      </c>
      <c r="G380" s="52">
        <f t="shared" ref="G380:G422" si="12">E380/F380</f>
        <v>0.99698189134808857</v>
      </c>
      <c r="H380" s="44" t="s">
        <v>46</v>
      </c>
      <c r="I380" s="44">
        <v>2023</v>
      </c>
    </row>
    <row r="381" spans="1:9" x14ac:dyDescent="0.25">
      <c r="A381" s="44" t="str">
        <f t="shared" si="10"/>
        <v>28745Julio2023</v>
      </c>
      <c r="B381" s="44">
        <v>2</v>
      </c>
      <c r="C381" s="44">
        <v>28745</v>
      </c>
      <c r="D381" s="51" t="s">
        <v>6</v>
      </c>
      <c r="E381" s="44">
        <v>263</v>
      </c>
      <c r="F381" s="44">
        <v>264</v>
      </c>
      <c r="G381" s="52">
        <f t="shared" si="12"/>
        <v>0.99621212121212122</v>
      </c>
      <c r="H381" s="44" t="s">
        <v>46</v>
      </c>
      <c r="I381" s="44">
        <v>2023</v>
      </c>
    </row>
    <row r="382" spans="1:9" x14ac:dyDescent="0.25">
      <c r="A382" s="44" t="str">
        <f t="shared" si="10"/>
        <v>242Julio2023</v>
      </c>
      <c r="B382" s="44">
        <v>3</v>
      </c>
      <c r="C382" s="44">
        <v>242</v>
      </c>
      <c r="D382" s="51" t="s">
        <v>7</v>
      </c>
      <c r="E382" s="44">
        <v>3223</v>
      </c>
      <c r="F382" s="44">
        <v>3247</v>
      </c>
      <c r="G382" s="52">
        <f t="shared" si="12"/>
        <v>0.99260856174930701</v>
      </c>
      <c r="H382" s="44" t="s">
        <v>46</v>
      </c>
      <c r="I382" s="44">
        <v>2023</v>
      </c>
    </row>
    <row r="383" spans="1:9" x14ac:dyDescent="0.25">
      <c r="A383" s="44" t="str">
        <f t="shared" si="10"/>
        <v>246Julio2023</v>
      </c>
      <c r="B383" s="44">
        <v>4</v>
      </c>
      <c r="C383" s="44">
        <v>246</v>
      </c>
      <c r="D383" s="51" t="s">
        <v>9</v>
      </c>
      <c r="E383" s="44">
        <v>2598</v>
      </c>
      <c r="F383" s="44">
        <v>2631</v>
      </c>
      <c r="G383" s="52">
        <f t="shared" si="12"/>
        <v>0.9874572405929305</v>
      </c>
      <c r="H383" s="44" t="s">
        <v>46</v>
      </c>
      <c r="I383" s="44">
        <v>2023</v>
      </c>
    </row>
    <row r="384" spans="1:9" x14ac:dyDescent="0.25">
      <c r="A384" s="44" t="str">
        <f t="shared" si="10"/>
        <v>11799Julio2023</v>
      </c>
      <c r="B384" s="44">
        <v>5</v>
      </c>
      <c r="C384" s="44">
        <v>11799</v>
      </c>
      <c r="D384" s="51" t="s">
        <v>21</v>
      </c>
      <c r="E384" s="44">
        <v>1076</v>
      </c>
      <c r="F384" s="44">
        <v>1100</v>
      </c>
      <c r="G384" s="52">
        <f t="shared" si="12"/>
        <v>0.97818181818181815</v>
      </c>
      <c r="H384" s="44" t="s">
        <v>46</v>
      </c>
      <c r="I384" s="44">
        <v>2023</v>
      </c>
    </row>
    <row r="385" spans="1:9" x14ac:dyDescent="0.25">
      <c r="A385" s="44" t="str">
        <f t="shared" si="10"/>
        <v>243Julio2023</v>
      </c>
      <c r="B385" s="44">
        <v>6</v>
      </c>
      <c r="C385" s="44">
        <v>243</v>
      </c>
      <c r="D385" s="51" t="s">
        <v>34</v>
      </c>
      <c r="E385" s="44">
        <v>2364</v>
      </c>
      <c r="F385" s="44">
        <v>2467</v>
      </c>
      <c r="G385" s="52">
        <f t="shared" si="12"/>
        <v>0.95824888528577223</v>
      </c>
      <c r="H385" s="44" t="s">
        <v>46</v>
      </c>
      <c r="I385" s="44">
        <v>2023</v>
      </c>
    </row>
    <row r="386" spans="1:9" x14ac:dyDescent="0.25">
      <c r="A386" s="44" t="str">
        <f t="shared" ref="A386:A449" si="13">C386&amp;H386&amp;I386</f>
        <v>241Julio2023</v>
      </c>
      <c r="B386" s="44">
        <v>7</v>
      </c>
      <c r="C386" s="44">
        <v>241</v>
      </c>
      <c r="D386" s="51" t="s">
        <v>30</v>
      </c>
      <c r="E386" s="44">
        <v>1832</v>
      </c>
      <c r="F386" s="44">
        <v>1922</v>
      </c>
      <c r="G386" s="52">
        <f t="shared" si="12"/>
        <v>0.95317377731529651</v>
      </c>
      <c r="H386" s="44" t="s">
        <v>46</v>
      </c>
      <c r="I386" s="44">
        <v>2023</v>
      </c>
    </row>
    <row r="387" spans="1:9" x14ac:dyDescent="0.25">
      <c r="A387" s="44" t="str">
        <f t="shared" si="13"/>
        <v>11117Julio2023</v>
      </c>
      <c r="B387" s="44">
        <v>8</v>
      </c>
      <c r="C387" s="44">
        <v>11117</v>
      </c>
      <c r="D387" s="51" t="s">
        <v>15</v>
      </c>
      <c r="E387" s="44">
        <v>7232</v>
      </c>
      <c r="F387" s="44">
        <v>7742</v>
      </c>
      <c r="G387" s="52">
        <f t="shared" si="12"/>
        <v>0.93412554895375877</v>
      </c>
      <c r="H387" s="44" t="s">
        <v>46</v>
      </c>
      <c r="I387" s="44">
        <v>2023</v>
      </c>
    </row>
    <row r="388" spans="1:9" x14ac:dyDescent="0.25">
      <c r="A388" s="44" t="str">
        <f t="shared" si="13"/>
        <v>234Julio2023</v>
      </c>
      <c r="B388" s="44">
        <v>9</v>
      </c>
      <c r="C388" s="44">
        <v>234</v>
      </c>
      <c r="D388" s="51" t="s">
        <v>18</v>
      </c>
      <c r="E388" s="44">
        <v>2991</v>
      </c>
      <c r="F388" s="44">
        <v>3201</v>
      </c>
      <c r="G388" s="52">
        <f t="shared" si="12"/>
        <v>0.93439550140581074</v>
      </c>
      <c r="H388" s="44" t="s">
        <v>46</v>
      </c>
      <c r="I388" s="44">
        <v>2023</v>
      </c>
    </row>
    <row r="389" spans="1:9" x14ac:dyDescent="0.25">
      <c r="A389" s="44" t="str">
        <f t="shared" si="13"/>
        <v>236Julio2023</v>
      </c>
      <c r="B389" s="44">
        <v>10</v>
      </c>
      <c r="C389" s="44">
        <v>236</v>
      </c>
      <c r="D389" s="51" t="s">
        <v>25</v>
      </c>
      <c r="E389" s="44">
        <v>3432</v>
      </c>
      <c r="F389" s="44">
        <v>3705</v>
      </c>
      <c r="G389" s="52">
        <f t="shared" si="12"/>
        <v>0.9263157894736842</v>
      </c>
      <c r="H389" s="44" t="s">
        <v>46</v>
      </c>
      <c r="I389" s="44">
        <v>2023</v>
      </c>
    </row>
    <row r="390" spans="1:9" x14ac:dyDescent="0.25">
      <c r="A390" s="44" t="str">
        <f t="shared" si="13"/>
        <v>10951Julio2023</v>
      </c>
      <c r="B390" s="44">
        <v>11</v>
      </c>
      <c r="C390" s="44">
        <v>10951</v>
      </c>
      <c r="D390" s="51" t="s">
        <v>24</v>
      </c>
      <c r="E390" s="44">
        <v>1010</v>
      </c>
      <c r="F390" s="44">
        <v>1111</v>
      </c>
      <c r="G390" s="52">
        <f t="shared" si="12"/>
        <v>0.90909090909090906</v>
      </c>
      <c r="H390" s="44" t="s">
        <v>46</v>
      </c>
      <c r="I390" s="44">
        <v>2023</v>
      </c>
    </row>
    <row r="391" spans="1:9" x14ac:dyDescent="0.25">
      <c r="A391" s="44" t="str">
        <f t="shared" si="13"/>
        <v>11116Julio2023</v>
      </c>
      <c r="B391" s="44">
        <v>12</v>
      </c>
      <c r="C391" s="44">
        <v>11116</v>
      </c>
      <c r="D391" s="51" t="s">
        <v>28</v>
      </c>
      <c r="E391" s="44">
        <v>6969</v>
      </c>
      <c r="F391" s="44">
        <v>7721</v>
      </c>
      <c r="G391" s="52">
        <f t="shared" si="12"/>
        <v>0.9026032897293097</v>
      </c>
      <c r="H391" s="44" t="s">
        <v>46</v>
      </c>
      <c r="I391" s="44">
        <v>2023</v>
      </c>
    </row>
    <row r="392" spans="1:9" x14ac:dyDescent="0.25">
      <c r="A392" s="44" t="str">
        <f t="shared" si="13"/>
        <v>239Julio2023</v>
      </c>
      <c r="B392" s="44">
        <v>13</v>
      </c>
      <c r="C392" s="44">
        <v>239</v>
      </c>
      <c r="D392" s="51" t="s">
        <v>32</v>
      </c>
      <c r="E392" s="44">
        <v>2820</v>
      </c>
      <c r="F392" s="44">
        <v>3183</v>
      </c>
      <c r="G392" s="52">
        <f t="shared" si="12"/>
        <v>0.88595664467483504</v>
      </c>
      <c r="H392" s="44" t="s">
        <v>46</v>
      </c>
      <c r="I392" s="44">
        <v>2023</v>
      </c>
    </row>
    <row r="393" spans="1:9" x14ac:dyDescent="0.25">
      <c r="A393" s="44" t="str">
        <f t="shared" si="13"/>
        <v>11931Julio2023</v>
      </c>
      <c r="B393" s="44">
        <v>14</v>
      </c>
      <c r="C393" s="44">
        <v>11931</v>
      </c>
      <c r="D393" s="51" t="s">
        <v>39</v>
      </c>
      <c r="E393" s="44">
        <v>1779</v>
      </c>
      <c r="F393" s="44">
        <v>1994</v>
      </c>
      <c r="G393" s="52">
        <f t="shared" si="12"/>
        <v>0.89217652958876625</v>
      </c>
      <c r="H393" s="44" t="s">
        <v>46</v>
      </c>
      <c r="I393" s="44">
        <v>2023</v>
      </c>
    </row>
    <row r="394" spans="1:9" x14ac:dyDescent="0.25">
      <c r="A394" s="44" t="str">
        <f t="shared" si="13"/>
        <v>11882Julio2023</v>
      </c>
      <c r="B394" s="44">
        <v>15</v>
      </c>
      <c r="C394" s="44">
        <v>11882</v>
      </c>
      <c r="D394" s="51" t="s">
        <v>22</v>
      </c>
      <c r="E394" s="44">
        <v>1027</v>
      </c>
      <c r="F394" s="44">
        <v>1215</v>
      </c>
      <c r="G394" s="52">
        <f t="shared" si="12"/>
        <v>0.84526748971193411</v>
      </c>
      <c r="H394" s="44" t="s">
        <v>46</v>
      </c>
      <c r="I394" s="44">
        <v>2023</v>
      </c>
    </row>
    <row r="395" spans="1:9" x14ac:dyDescent="0.25">
      <c r="A395" s="44" t="str">
        <f t="shared" si="13"/>
        <v>233Julio2023</v>
      </c>
      <c r="B395" s="44">
        <v>16</v>
      </c>
      <c r="C395" s="44">
        <v>233</v>
      </c>
      <c r="D395" s="51" t="s">
        <v>27</v>
      </c>
      <c r="E395" s="44">
        <v>5564</v>
      </c>
      <c r="F395" s="44">
        <v>6699</v>
      </c>
      <c r="G395" s="52">
        <f t="shared" si="12"/>
        <v>0.83057172712345129</v>
      </c>
      <c r="H395" s="44" t="s">
        <v>46</v>
      </c>
      <c r="I395" s="44">
        <v>2023</v>
      </c>
    </row>
    <row r="396" spans="1:9" x14ac:dyDescent="0.25">
      <c r="A396" s="44" t="str">
        <f t="shared" si="13"/>
        <v>10904Julio2023</v>
      </c>
      <c r="B396" s="44">
        <v>17</v>
      </c>
      <c r="C396" s="44">
        <v>10904</v>
      </c>
      <c r="D396" s="51" t="s">
        <v>29</v>
      </c>
      <c r="E396" s="44">
        <v>1188</v>
      </c>
      <c r="F396" s="44">
        <v>1482</v>
      </c>
      <c r="G396" s="52">
        <f t="shared" si="12"/>
        <v>0.80161943319838058</v>
      </c>
      <c r="H396" s="44" t="s">
        <v>46</v>
      </c>
      <c r="I396" s="44">
        <v>2023</v>
      </c>
    </row>
    <row r="397" spans="1:9" x14ac:dyDescent="0.25">
      <c r="A397" s="44" t="str">
        <f t="shared" si="13"/>
        <v>237Julio2023</v>
      </c>
      <c r="B397" s="44">
        <v>18</v>
      </c>
      <c r="C397" s="44">
        <v>237</v>
      </c>
      <c r="D397" s="51" t="s">
        <v>31</v>
      </c>
      <c r="E397" s="44">
        <v>2383</v>
      </c>
      <c r="F397" s="44">
        <v>3762</v>
      </c>
      <c r="G397" s="52">
        <f t="shared" si="12"/>
        <v>0.63343965975544925</v>
      </c>
      <c r="H397" s="44" t="s">
        <v>46</v>
      </c>
      <c r="I397" s="44">
        <v>2023</v>
      </c>
    </row>
    <row r="398" spans="1:9" x14ac:dyDescent="0.25">
      <c r="A398" s="44" t="str">
        <f t="shared" si="13"/>
        <v>238Julio2023</v>
      </c>
      <c r="B398" s="44">
        <v>19</v>
      </c>
      <c r="C398" s="44">
        <v>238</v>
      </c>
      <c r="D398" s="51" t="s">
        <v>35</v>
      </c>
      <c r="E398" s="44">
        <v>320</v>
      </c>
      <c r="F398" s="44">
        <v>594</v>
      </c>
      <c r="G398" s="52">
        <f t="shared" si="12"/>
        <v>0.53872053872053871</v>
      </c>
      <c r="H398" s="44" t="s">
        <v>46</v>
      </c>
      <c r="I398" s="44">
        <v>2023</v>
      </c>
    </row>
    <row r="399" spans="1:9" x14ac:dyDescent="0.25">
      <c r="A399" s="44" t="str">
        <f t="shared" si="13"/>
        <v>240Julio2023</v>
      </c>
      <c r="B399" s="44">
        <v>20</v>
      </c>
      <c r="C399" s="44">
        <v>240</v>
      </c>
      <c r="D399" s="51" t="s">
        <v>23</v>
      </c>
      <c r="E399" s="44">
        <v>555</v>
      </c>
      <c r="F399" s="44">
        <v>2048</v>
      </c>
      <c r="G399" s="52">
        <f t="shared" si="12"/>
        <v>0.27099609375</v>
      </c>
      <c r="H399" s="44" t="s">
        <v>46</v>
      </c>
      <c r="I399" s="44">
        <v>2023</v>
      </c>
    </row>
    <row r="400" spans="1:9" x14ac:dyDescent="0.25">
      <c r="A400" s="44" t="str">
        <f t="shared" si="13"/>
        <v>235Julio2023</v>
      </c>
      <c r="B400" s="44">
        <v>21</v>
      </c>
      <c r="C400" s="44">
        <v>235</v>
      </c>
      <c r="D400" s="51" t="s">
        <v>33</v>
      </c>
      <c r="E400" s="44">
        <v>47</v>
      </c>
      <c r="F400" s="44">
        <v>623</v>
      </c>
      <c r="G400" s="52">
        <f t="shared" si="12"/>
        <v>7.5441412520064199E-2</v>
      </c>
      <c r="H400" s="44" t="s">
        <v>46</v>
      </c>
      <c r="I400" s="44">
        <v>2023</v>
      </c>
    </row>
    <row r="401" spans="1:9" x14ac:dyDescent="0.25">
      <c r="A401" s="44" t="str">
        <f t="shared" si="13"/>
        <v>242Agosto2023</v>
      </c>
      <c r="B401" s="44">
        <v>1</v>
      </c>
      <c r="C401" s="44">
        <v>242</v>
      </c>
      <c r="D401" s="51" t="s">
        <v>7</v>
      </c>
      <c r="E401" s="44">
        <v>2841</v>
      </c>
      <c r="F401" s="44">
        <v>2869</v>
      </c>
      <c r="G401" s="52">
        <f t="shared" si="12"/>
        <v>0.99024050191704427</v>
      </c>
      <c r="H401" s="44" t="s">
        <v>47</v>
      </c>
      <c r="I401" s="44">
        <v>2023</v>
      </c>
    </row>
    <row r="402" spans="1:9" x14ac:dyDescent="0.25">
      <c r="A402" s="44" t="str">
        <f t="shared" si="13"/>
        <v>28745Agosto2023</v>
      </c>
      <c r="B402" s="44">
        <v>2</v>
      </c>
      <c r="C402" s="44">
        <v>28745</v>
      </c>
      <c r="D402" s="51" t="s">
        <v>6</v>
      </c>
      <c r="E402" s="44">
        <v>326</v>
      </c>
      <c r="F402" s="44">
        <v>328</v>
      </c>
      <c r="G402" s="52">
        <f t="shared" si="12"/>
        <v>0.99390243902439024</v>
      </c>
      <c r="H402" s="44" t="s">
        <v>47</v>
      </c>
      <c r="I402" s="44">
        <v>2023</v>
      </c>
    </row>
    <row r="403" spans="1:9" x14ac:dyDescent="0.25">
      <c r="A403" s="44" t="str">
        <f t="shared" si="13"/>
        <v>236Agosto2023</v>
      </c>
      <c r="B403" s="44">
        <v>3</v>
      </c>
      <c r="C403" s="44">
        <v>236</v>
      </c>
      <c r="D403" s="51" t="s">
        <v>25</v>
      </c>
      <c r="E403" s="44">
        <v>3350</v>
      </c>
      <c r="F403" s="44">
        <v>3410</v>
      </c>
      <c r="G403" s="52">
        <f t="shared" si="12"/>
        <v>0.98240469208211145</v>
      </c>
      <c r="H403" s="44" t="s">
        <v>47</v>
      </c>
      <c r="I403" s="44">
        <v>2023</v>
      </c>
    </row>
    <row r="404" spans="1:9" x14ac:dyDescent="0.25">
      <c r="A404" s="44" t="str">
        <f t="shared" si="13"/>
        <v>11117Agosto2023</v>
      </c>
      <c r="B404" s="44">
        <v>4</v>
      </c>
      <c r="C404" s="44">
        <v>11117</v>
      </c>
      <c r="D404" s="51" t="s">
        <v>15</v>
      </c>
      <c r="E404" s="44">
        <v>8026</v>
      </c>
      <c r="F404" s="44">
        <v>8280</v>
      </c>
      <c r="G404" s="52">
        <f t="shared" si="12"/>
        <v>0.96932367149758458</v>
      </c>
      <c r="H404" s="44" t="s">
        <v>47</v>
      </c>
      <c r="I404" s="44">
        <v>2023</v>
      </c>
    </row>
    <row r="405" spans="1:9" x14ac:dyDescent="0.25">
      <c r="A405" s="44" t="str">
        <f t="shared" si="13"/>
        <v>11799Agosto2023</v>
      </c>
      <c r="B405" s="44">
        <v>5</v>
      </c>
      <c r="C405" s="44">
        <v>11799</v>
      </c>
      <c r="D405" s="51" t="s">
        <v>21</v>
      </c>
      <c r="E405" s="44">
        <v>1108</v>
      </c>
      <c r="F405" s="44">
        <v>1141</v>
      </c>
      <c r="G405" s="52">
        <f t="shared" si="12"/>
        <v>0.97107800175284842</v>
      </c>
      <c r="H405" s="44" t="s">
        <v>47</v>
      </c>
      <c r="I405" s="44">
        <v>2023</v>
      </c>
    </row>
    <row r="406" spans="1:9" x14ac:dyDescent="0.25">
      <c r="A406" s="44" t="str">
        <f t="shared" si="13"/>
        <v>235Agosto2023</v>
      </c>
      <c r="B406" s="44">
        <v>6</v>
      </c>
      <c r="C406" s="44">
        <v>235</v>
      </c>
      <c r="D406" s="51" t="s">
        <v>33</v>
      </c>
      <c r="E406" s="44">
        <v>2307</v>
      </c>
      <c r="F406" s="44">
        <v>2401</v>
      </c>
      <c r="G406" s="52">
        <f t="shared" si="12"/>
        <v>0.96084964598084133</v>
      </c>
      <c r="H406" s="44" t="s">
        <v>47</v>
      </c>
      <c r="I406" s="44">
        <v>2023</v>
      </c>
    </row>
    <row r="407" spans="1:9" x14ac:dyDescent="0.25">
      <c r="A407" s="44" t="str">
        <f t="shared" si="13"/>
        <v>11882Agosto2023</v>
      </c>
      <c r="B407" s="44">
        <v>7</v>
      </c>
      <c r="C407" s="44">
        <v>11882</v>
      </c>
      <c r="D407" s="51" t="s">
        <v>22</v>
      </c>
      <c r="E407" s="44">
        <v>1006</v>
      </c>
      <c r="F407" s="44">
        <v>1060</v>
      </c>
      <c r="G407" s="52">
        <f t="shared" si="12"/>
        <v>0.94905660377358492</v>
      </c>
      <c r="H407" s="44" t="s">
        <v>47</v>
      </c>
      <c r="I407" s="44">
        <v>2023</v>
      </c>
    </row>
    <row r="408" spans="1:9" x14ac:dyDescent="0.25">
      <c r="A408" s="44" t="str">
        <f t="shared" si="13"/>
        <v>246Agosto2023</v>
      </c>
      <c r="B408" s="44">
        <v>8</v>
      </c>
      <c r="C408" s="44">
        <v>246</v>
      </c>
      <c r="D408" s="51" t="s">
        <v>9</v>
      </c>
      <c r="E408" s="44">
        <v>2246</v>
      </c>
      <c r="F408" s="44">
        <v>2388</v>
      </c>
      <c r="G408" s="52">
        <f t="shared" si="12"/>
        <v>0.94053601340033499</v>
      </c>
      <c r="H408" s="44" t="s">
        <v>47</v>
      </c>
      <c r="I408" s="44">
        <v>2023</v>
      </c>
    </row>
    <row r="409" spans="1:9" x14ac:dyDescent="0.25">
      <c r="A409" s="44" t="str">
        <f t="shared" si="13"/>
        <v>11931Agosto2023</v>
      </c>
      <c r="B409" s="44">
        <v>9</v>
      </c>
      <c r="C409" s="44">
        <v>11931</v>
      </c>
      <c r="D409" s="51" t="s">
        <v>26</v>
      </c>
      <c r="E409" s="44">
        <v>1619</v>
      </c>
      <c r="F409" s="44">
        <v>1758</v>
      </c>
      <c r="G409" s="52">
        <f t="shared" si="12"/>
        <v>0.9209328782707622</v>
      </c>
      <c r="H409" s="44" t="s">
        <v>47</v>
      </c>
      <c r="I409" s="44">
        <v>2023</v>
      </c>
    </row>
    <row r="410" spans="1:9" x14ac:dyDescent="0.25">
      <c r="A410" s="44" t="str">
        <f t="shared" si="13"/>
        <v>243Agosto2023</v>
      </c>
      <c r="B410" s="44">
        <v>10</v>
      </c>
      <c r="C410" s="44">
        <v>243</v>
      </c>
      <c r="D410" s="51" t="s">
        <v>34</v>
      </c>
      <c r="E410" s="44">
        <v>3183</v>
      </c>
      <c r="F410" s="44">
        <v>3546</v>
      </c>
      <c r="G410" s="52">
        <f t="shared" si="12"/>
        <v>0.89763113367174285</v>
      </c>
      <c r="H410" s="44" t="s">
        <v>47</v>
      </c>
      <c r="I410" s="44">
        <v>2023</v>
      </c>
    </row>
    <row r="411" spans="1:9" x14ac:dyDescent="0.25">
      <c r="A411" s="44" t="str">
        <f t="shared" si="13"/>
        <v>10951Agosto2023</v>
      </c>
      <c r="B411" s="44">
        <v>11</v>
      </c>
      <c r="C411" s="44">
        <v>10951</v>
      </c>
      <c r="D411" s="51" t="s">
        <v>24</v>
      </c>
      <c r="E411" s="44">
        <v>1235</v>
      </c>
      <c r="F411" s="44">
        <v>1388</v>
      </c>
      <c r="G411" s="52">
        <f t="shared" si="12"/>
        <v>0.88976945244956773</v>
      </c>
      <c r="H411" s="44" t="s">
        <v>47</v>
      </c>
      <c r="I411" s="44">
        <v>2023</v>
      </c>
    </row>
    <row r="412" spans="1:9" x14ac:dyDescent="0.25">
      <c r="A412" s="44" t="str">
        <f t="shared" si="13"/>
        <v>11116Agosto2023</v>
      </c>
      <c r="B412" s="44">
        <v>12</v>
      </c>
      <c r="C412" s="44">
        <v>11116</v>
      </c>
      <c r="D412" s="51" t="s">
        <v>28</v>
      </c>
      <c r="E412" s="44">
        <v>6898</v>
      </c>
      <c r="F412" s="44">
        <v>7760</v>
      </c>
      <c r="G412" s="52">
        <f t="shared" si="12"/>
        <v>0.88891752577319583</v>
      </c>
      <c r="H412" s="44" t="s">
        <v>47</v>
      </c>
      <c r="I412" s="44">
        <v>2023</v>
      </c>
    </row>
    <row r="413" spans="1:9" x14ac:dyDescent="0.25">
      <c r="A413" s="44" t="str">
        <f t="shared" si="13"/>
        <v>234Agosto2023</v>
      </c>
      <c r="B413" s="44">
        <v>13</v>
      </c>
      <c r="C413" s="44">
        <v>234</v>
      </c>
      <c r="D413" s="51" t="s">
        <v>18</v>
      </c>
      <c r="E413" s="44">
        <v>3106</v>
      </c>
      <c r="F413" s="44">
        <v>3600</v>
      </c>
      <c r="G413" s="52">
        <f t="shared" si="12"/>
        <v>0.86277777777777775</v>
      </c>
      <c r="H413" s="44" t="s">
        <v>47</v>
      </c>
      <c r="I413" s="44">
        <v>2023</v>
      </c>
    </row>
    <row r="414" spans="1:9" x14ac:dyDescent="0.25">
      <c r="A414" s="44" t="str">
        <f t="shared" si="13"/>
        <v>241Agosto2023</v>
      </c>
      <c r="B414" s="44">
        <v>14</v>
      </c>
      <c r="C414" s="44">
        <v>241</v>
      </c>
      <c r="D414" s="51" t="s">
        <v>30</v>
      </c>
      <c r="E414" s="44">
        <v>1921</v>
      </c>
      <c r="F414" s="44">
        <v>2400</v>
      </c>
      <c r="G414" s="52">
        <f t="shared" si="12"/>
        <v>0.80041666666666667</v>
      </c>
      <c r="H414" s="44" t="s">
        <v>47</v>
      </c>
      <c r="I414" s="44">
        <v>2023</v>
      </c>
    </row>
    <row r="415" spans="1:9" x14ac:dyDescent="0.25">
      <c r="A415" s="44" t="str">
        <f t="shared" si="13"/>
        <v>10904Agosto2023</v>
      </c>
      <c r="B415" s="44">
        <v>15</v>
      </c>
      <c r="C415" s="44">
        <v>10904</v>
      </c>
      <c r="D415" s="51" t="s">
        <v>29</v>
      </c>
      <c r="E415" s="44">
        <v>874</v>
      </c>
      <c r="F415" s="44">
        <v>1112</v>
      </c>
      <c r="G415" s="52">
        <f t="shared" si="12"/>
        <v>0.78597122302158273</v>
      </c>
      <c r="H415" s="44" t="s">
        <v>47</v>
      </c>
      <c r="I415" s="44">
        <v>2023</v>
      </c>
    </row>
    <row r="416" spans="1:9" x14ac:dyDescent="0.25">
      <c r="A416" s="44" t="str">
        <f t="shared" si="13"/>
        <v>239Agosto2023</v>
      </c>
      <c r="B416" s="44">
        <v>16</v>
      </c>
      <c r="C416" s="44">
        <v>239</v>
      </c>
      <c r="D416" s="51" t="s">
        <v>32</v>
      </c>
      <c r="E416" s="44">
        <v>2147</v>
      </c>
      <c r="F416" s="44">
        <v>2723</v>
      </c>
      <c r="G416" s="52">
        <f t="shared" si="12"/>
        <v>0.78846860080793246</v>
      </c>
      <c r="H416" s="44" t="s">
        <v>47</v>
      </c>
      <c r="I416" s="44">
        <v>2023</v>
      </c>
    </row>
    <row r="417" spans="1:9" x14ac:dyDescent="0.25">
      <c r="A417" s="44" t="str">
        <f t="shared" si="13"/>
        <v>233Agosto2023</v>
      </c>
      <c r="B417" s="44">
        <v>17</v>
      </c>
      <c r="C417" s="44">
        <v>233</v>
      </c>
      <c r="D417" s="51" t="s">
        <v>27</v>
      </c>
      <c r="E417" s="44">
        <v>5731</v>
      </c>
      <c r="F417" s="44">
        <v>7422</v>
      </c>
      <c r="G417" s="52">
        <f t="shared" si="12"/>
        <v>0.77216383724063598</v>
      </c>
      <c r="H417" s="44" t="s">
        <v>47</v>
      </c>
      <c r="I417" s="44">
        <v>2023</v>
      </c>
    </row>
    <row r="418" spans="1:9" x14ac:dyDescent="0.25">
      <c r="A418" s="44" t="str">
        <f t="shared" si="13"/>
        <v>240Agosto2023</v>
      </c>
      <c r="B418" s="44">
        <v>18</v>
      </c>
      <c r="C418" s="44">
        <v>240</v>
      </c>
      <c r="D418" s="51" t="s">
        <v>23</v>
      </c>
      <c r="E418" s="44">
        <v>1911</v>
      </c>
      <c r="F418" s="44">
        <v>2622</v>
      </c>
      <c r="G418" s="52">
        <f t="shared" si="12"/>
        <v>0.72883295194508013</v>
      </c>
      <c r="H418" s="44" t="s">
        <v>47</v>
      </c>
      <c r="I418" s="44">
        <v>2023</v>
      </c>
    </row>
    <row r="419" spans="1:9" x14ac:dyDescent="0.25">
      <c r="A419" s="44" t="str">
        <f t="shared" si="13"/>
        <v>237Agosto2023</v>
      </c>
      <c r="B419" s="44">
        <v>19</v>
      </c>
      <c r="C419" s="44">
        <v>237</v>
      </c>
      <c r="D419" s="51" t="s">
        <v>31</v>
      </c>
      <c r="E419" s="44">
        <v>3246</v>
      </c>
      <c r="F419" s="44">
        <v>4765</v>
      </c>
      <c r="G419" s="52">
        <f t="shared" si="12"/>
        <v>0.68121720881427072</v>
      </c>
      <c r="H419" s="44" t="s">
        <v>47</v>
      </c>
      <c r="I419" s="44">
        <v>2023</v>
      </c>
    </row>
    <row r="420" spans="1:9" x14ac:dyDescent="0.25">
      <c r="A420" s="44" t="str">
        <f t="shared" si="13"/>
        <v>1557Agosto2023</v>
      </c>
      <c r="B420" s="44">
        <v>20</v>
      </c>
      <c r="C420" s="44">
        <v>1557</v>
      </c>
      <c r="D420" s="51" t="s">
        <v>12</v>
      </c>
      <c r="E420" s="44">
        <v>314</v>
      </c>
      <c r="F420" s="44">
        <v>508</v>
      </c>
      <c r="G420" s="52">
        <f t="shared" si="12"/>
        <v>0.61811023622047245</v>
      </c>
      <c r="H420" s="44" t="s">
        <v>47</v>
      </c>
      <c r="I420" s="44">
        <v>2023</v>
      </c>
    </row>
    <row r="421" spans="1:9" x14ac:dyDescent="0.25">
      <c r="A421" s="44" t="str">
        <f t="shared" si="13"/>
        <v>238Agosto2023</v>
      </c>
      <c r="B421" s="44">
        <v>21</v>
      </c>
      <c r="C421" s="44">
        <v>238</v>
      </c>
      <c r="D421" s="51" t="s">
        <v>35</v>
      </c>
      <c r="E421" s="44">
        <v>976</v>
      </c>
      <c r="F421" s="44">
        <v>1906</v>
      </c>
      <c r="G421" s="52">
        <f t="shared" si="12"/>
        <v>0.51206715634837352</v>
      </c>
      <c r="H421" s="44" t="s">
        <v>47</v>
      </c>
      <c r="I421" s="44">
        <v>2023</v>
      </c>
    </row>
    <row r="422" spans="1:9" x14ac:dyDescent="0.25">
      <c r="A422" s="44" t="str">
        <f t="shared" si="13"/>
        <v>11117Septiembre2023</v>
      </c>
      <c r="B422" s="44">
        <v>1</v>
      </c>
      <c r="C422" s="44">
        <v>11117</v>
      </c>
      <c r="D422" s="51" t="s">
        <v>15</v>
      </c>
      <c r="E422" s="44">
        <v>6678</v>
      </c>
      <c r="F422" s="44">
        <v>6860</v>
      </c>
      <c r="G422" s="52">
        <f t="shared" si="12"/>
        <v>0.97346938775510206</v>
      </c>
      <c r="H422" s="44" t="s">
        <v>48</v>
      </c>
      <c r="I422" s="44">
        <v>2023</v>
      </c>
    </row>
    <row r="423" spans="1:9" x14ac:dyDescent="0.25">
      <c r="A423" s="44" t="str">
        <f t="shared" si="13"/>
        <v>11799Septiembre2023</v>
      </c>
      <c r="B423" s="44">
        <v>2</v>
      </c>
      <c r="C423" s="44">
        <v>11799</v>
      </c>
      <c r="D423" s="51" t="s">
        <v>21</v>
      </c>
      <c r="E423" s="44">
        <v>2078</v>
      </c>
      <c r="F423" s="44">
        <v>2132</v>
      </c>
      <c r="G423" s="52">
        <f t="shared" ref="G423:G485" si="14">E423/F423</f>
        <v>0.97467166979362097</v>
      </c>
      <c r="H423" s="44" t="s">
        <v>48</v>
      </c>
      <c r="I423" s="44">
        <v>2023</v>
      </c>
    </row>
    <row r="424" spans="1:9" x14ac:dyDescent="0.25">
      <c r="A424" s="44" t="str">
        <f t="shared" si="13"/>
        <v>242Septiembre2023</v>
      </c>
      <c r="B424" s="44">
        <v>3</v>
      </c>
      <c r="C424" s="44">
        <v>242</v>
      </c>
      <c r="D424" s="51" t="s">
        <v>7</v>
      </c>
      <c r="E424" s="44">
        <v>3173</v>
      </c>
      <c r="F424" s="44">
        <v>3342</v>
      </c>
      <c r="G424" s="52">
        <f t="shared" si="14"/>
        <v>0.9494314781567923</v>
      </c>
      <c r="H424" s="44" t="s">
        <v>48</v>
      </c>
      <c r="I424" s="44">
        <v>2023</v>
      </c>
    </row>
    <row r="425" spans="1:9" x14ac:dyDescent="0.25">
      <c r="A425" s="44" t="str">
        <f t="shared" si="13"/>
        <v>11882Septiembre2023</v>
      </c>
      <c r="B425" s="44">
        <v>4</v>
      </c>
      <c r="C425" s="44">
        <v>11882</v>
      </c>
      <c r="D425" s="51" t="s">
        <v>22</v>
      </c>
      <c r="E425" s="44">
        <v>1074</v>
      </c>
      <c r="F425" s="44">
        <v>1170</v>
      </c>
      <c r="G425" s="52">
        <f t="shared" si="14"/>
        <v>0.91794871794871791</v>
      </c>
      <c r="H425" s="44" t="s">
        <v>48</v>
      </c>
      <c r="I425" s="44">
        <v>2023</v>
      </c>
    </row>
    <row r="426" spans="1:9" x14ac:dyDescent="0.25">
      <c r="A426" s="44" t="str">
        <f t="shared" si="13"/>
        <v>234Septiembre2023</v>
      </c>
      <c r="B426" s="44">
        <v>5</v>
      </c>
      <c r="C426" s="44">
        <v>234</v>
      </c>
      <c r="D426" s="51" t="s">
        <v>18</v>
      </c>
      <c r="E426" s="44">
        <v>2761</v>
      </c>
      <c r="F426" s="44">
        <v>3009</v>
      </c>
      <c r="G426" s="52">
        <f t="shared" si="14"/>
        <v>0.91758059155865734</v>
      </c>
      <c r="H426" s="44" t="s">
        <v>48</v>
      </c>
      <c r="I426" s="44">
        <v>2023</v>
      </c>
    </row>
    <row r="427" spans="1:9" x14ac:dyDescent="0.25">
      <c r="A427" s="44" t="str">
        <f t="shared" si="13"/>
        <v>236Septiembre2023</v>
      </c>
      <c r="B427" s="44">
        <v>6</v>
      </c>
      <c r="C427" s="44">
        <v>236</v>
      </c>
      <c r="D427" s="51" t="s">
        <v>25</v>
      </c>
      <c r="E427" s="44">
        <v>2843</v>
      </c>
      <c r="F427" s="44">
        <v>3117</v>
      </c>
      <c r="G427" s="52">
        <f t="shared" si="14"/>
        <v>0.91209496310555016</v>
      </c>
      <c r="H427" s="44" t="s">
        <v>48</v>
      </c>
      <c r="I427" s="44">
        <v>2023</v>
      </c>
    </row>
    <row r="428" spans="1:9" x14ac:dyDescent="0.25">
      <c r="A428" s="44" t="str">
        <f t="shared" si="13"/>
        <v>11116Septiembre2023</v>
      </c>
      <c r="B428" s="44">
        <v>7</v>
      </c>
      <c r="C428" s="44">
        <v>11116</v>
      </c>
      <c r="D428" s="51" t="s">
        <v>28</v>
      </c>
      <c r="E428" s="44">
        <v>6694</v>
      </c>
      <c r="F428" s="44">
        <v>7547</v>
      </c>
      <c r="G428" s="52">
        <f t="shared" si="14"/>
        <v>0.88697495693653106</v>
      </c>
      <c r="H428" s="44" t="s">
        <v>48</v>
      </c>
      <c r="I428" s="44">
        <v>2023</v>
      </c>
    </row>
    <row r="429" spans="1:9" x14ac:dyDescent="0.25">
      <c r="A429" s="44" t="str">
        <f t="shared" si="13"/>
        <v>241Septiembre2023</v>
      </c>
      <c r="B429" s="44">
        <v>8</v>
      </c>
      <c r="C429" s="44">
        <v>241</v>
      </c>
      <c r="D429" s="51" t="s">
        <v>30</v>
      </c>
      <c r="E429" s="44">
        <v>1745</v>
      </c>
      <c r="F429" s="44">
        <v>1963</v>
      </c>
      <c r="G429" s="52">
        <f t="shared" si="14"/>
        <v>0.8889454915944982</v>
      </c>
      <c r="H429" s="44" t="s">
        <v>48</v>
      </c>
      <c r="I429" s="44">
        <v>2023</v>
      </c>
    </row>
    <row r="430" spans="1:9" x14ac:dyDescent="0.25">
      <c r="A430" s="44" t="str">
        <f t="shared" si="13"/>
        <v>11931Septiembre2023</v>
      </c>
      <c r="B430" s="44">
        <v>9</v>
      </c>
      <c r="C430" s="44">
        <v>11931</v>
      </c>
      <c r="D430" s="51" t="s">
        <v>39</v>
      </c>
      <c r="E430" s="44">
        <v>1717</v>
      </c>
      <c r="F430" s="44">
        <v>2006</v>
      </c>
      <c r="G430" s="52">
        <f t="shared" si="14"/>
        <v>0.85593220338983056</v>
      </c>
      <c r="H430" s="44" t="s">
        <v>48</v>
      </c>
      <c r="I430" s="44">
        <v>2023</v>
      </c>
    </row>
    <row r="431" spans="1:9" x14ac:dyDescent="0.25">
      <c r="A431" s="44" t="str">
        <f t="shared" si="13"/>
        <v>10951Septiembre2023</v>
      </c>
      <c r="B431" s="44">
        <v>10</v>
      </c>
      <c r="C431" s="44">
        <v>10951</v>
      </c>
      <c r="D431" s="51" t="s">
        <v>24</v>
      </c>
      <c r="E431" s="44">
        <v>1156</v>
      </c>
      <c r="F431" s="44">
        <v>1362</v>
      </c>
      <c r="G431" s="52">
        <f t="shared" si="14"/>
        <v>0.84875183553597655</v>
      </c>
      <c r="H431" s="44" t="s">
        <v>48</v>
      </c>
      <c r="I431" s="44">
        <v>2023</v>
      </c>
    </row>
    <row r="432" spans="1:9" x14ac:dyDescent="0.25">
      <c r="A432" s="44" t="str">
        <f t="shared" si="13"/>
        <v>237Septiembre2023</v>
      </c>
      <c r="B432" s="44">
        <v>11</v>
      </c>
      <c r="C432" s="44">
        <v>237</v>
      </c>
      <c r="D432" s="51" t="s">
        <v>31</v>
      </c>
      <c r="E432" s="44">
        <v>3936</v>
      </c>
      <c r="F432" s="44">
        <v>4633</v>
      </c>
      <c r="G432" s="52">
        <f t="shared" si="14"/>
        <v>0.84955752212389379</v>
      </c>
      <c r="H432" s="44" t="s">
        <v>48</v>
      </c>
      <c r="I432" s="44">
        <v>2023</v>
      </c>
    </row>
    <row r="433" spans="1:9" x14ac:dyDescent="0.25">
      <c r="A433" s="44" t="str">
        <f t="shared" si="13"/>
        <v>10904Septiembre2023</v>
      </c>
      <c r="B433" s="44">
        <v>12</v>
      </c>
      <c r="C433" s="44">
        <v>10904</v>
      </c>
      <c r="D433" s="51" t="s">
        <v>29</v>
      </c>
      <c r="E433" s="44">
        <v>1118</v>
      </c>
      <c r="F433" s="44">
        <v>1416</v>
      </c>
      <c r="G433" s="52">
        <f t="shared" si="14"/>
        <v>0.78954802259887003</v>
      </c>
      <c r="H433" s="44" t="s">
        <v>48</v>
      </c>
      <c r="I433" s="44">
        <v>2023</v>
      </c>
    </row>
    <row r="434" spans="1:9" x14ac:dyDescent="0.25">
      <c r="A434" s="44" t="str">
        <f t="shared" si="13"/>
        <v>233Septiembre2023</v>
      </c>
      <c r="B434" s="44">
        <v>13</v>
      </c>
      <c r="C434" s="44">
        <v>233</v>
      </c>
      <c r="D434" s="51" t="s">
        <v>27</v>
      </c>
      <c r="E434" s="44">
        <v>6409</v>
      </c>
      <c r="F434" s="44">
        <v>8163</v>
      </c>
      <c r="G434" s="52">
        <f t="shared" si="14"/>
        <v>0.78512801666054144</v>
      </c>
      <c r="H434" s="44" t="s">
        <v>48</v>
      </c>
      <c r="I434" s="44">
        <v>2023</v>
      </c>
    </row>
    <row r="435" spans="1:9" x14ac:dyDescent="0.25">
      <c r="A435" s="44" t="str">
        <f t="shared" si="13"/>
        <v>238Septiembre2023</v>
      </c>
      <c r="B435" s="44">
        <v>14</v>
      </c>
      <c r="C435" s="44">
        <v>238</v>
      </c>
      <c r="D435" s="51" t="s">
        <v>35</v>
      </c>
      <c r="E435" s="44">
        <v>1468</v>
      </c>
      <c r="F435" s="44">
        <v>2099</v>
      </c>
      <c r="G435" s="52">
        <f t="shared" si="14"/>
        <v>0.69938065745593136</v>
      </c>
      <c r="H435" s="44" t="s">
        <v>48</v>
      </c>
      <c r="I435" s="44">
        <v>2023</v>
      </c>
    </row>
    <row r="436" spans="1:9" x14ac:dyDescent="0.25">
      <c r="A436" s="44" t="str">
        <f t="shared" si="13"/>
        <v>246Septiembre2023</v>
      </c>
      <c r="B436" s="44">
        <v>15</v>
      </c>
      <c r="C436" s="44">
        <v>246</v>
      </c>
      <c r="D436" s="51" t="s">
        <v>9</v>
      </c>
      <c r="E436" s="44">
        <v>1445</v>
      </c>
      <c r="F436" s="44">
        <v>2076</v>
      </c>
      <c r="G436" s="52">
        <f t="shared" si="14"/>
        <v>0.69605009633911363</v>
      </c>
      <c r="H436" s="44" t="s">
        <v>48</v>
      </c>
      <c r="I436" s="44">
        <v>2023</v>
      </c>
    </row>
    <row r="437" spans="1:9" x14ac:dyDescent="0.25">
      <c r="A437" s="44" t="str">
        <f t="shared" si="13"/>
        <v>240Septiembre2023</v>
      </c>
      <c r="B437" s="44">
        <v>16</v>
      </c>
      <c r="C437" s="44">
        <v>240</v>
      </c>
      <c r="D437" s="51" t="s">
        <v>23</v>
      </c>
      <c r="E437" s="44">
        <v>1368</v>
      </c>
      <c r="F437" s="44">
        <v>1977</v>
      </c>
      <c r="G437" s="52">
        <f t="shared" si="14"/>
        <v>0.69195751138088013</v>
      </c>
      <c r="H437" s="44" t="s">
        <v>48</v>
      </c>
      <c r="I437" s="44">
        <v>2023</v>
      </c>
    </row>
    <row r="438" spans="1:9" x14ac:dyDescent="0.25">
      <c r="A438" s="44" t="str">
        <f t="shared" si="13"/>
        <v>235Septiembre2023</v>
      </c>
      <c r="B438" s="44">
        <v>17</v>
      </c>
      <c r="C438" s="44">
        <v>235</v>
      </c>
      <c r="D438" s="51" t="s">
        <v>33</v>
      </c>
      <c r="E438" s="44">
        <v>2521</v>
      </c>
      <c r="F438" s="44">
        <v>3692</v>
      </c>
      <c r="G438" s="52">
        <f t="shared" si="14"/>
        <v>0.68282773564463706</v>
      </c>
      <c r="H438" s="44" t="s">
        <v>48</v>
      </c>
      <c r="I438" s="44">
        <v>2023</v>
      </c>
    </row>
    <row r="439" spans="1:9" x14ac:dyDescent="0.25">
      <c r="A439" s="44" t="str">
        <f t="shared" si="13"/>
        <v>243Septiembre2023</v>
      </c>
      <c r="B439" s="44">
        <v>18</v>
      </c>
      <c r="C439" s="44">
        <v>243</v>
      </c>
      <c r="D439" s="51" t="s">
        <v>34</v>
      </c>
      <c r="E439" s="44">
        <v>2459</v>
      </c>
      <c r="F439" s="44">
        <v>3686</v>
      </c>
      <c r="G439" s="52">
        <f t="shared" si="14"/>
        <v>0.66711882799782962</v>
      </c>
      <c r="H439" s="44" t="s">
        <v>48</v>
      </c>
      <c r="I439" s="44">
        <v>2023</v>
      </c>
    </row>
    <row r="440" spans="1:9" x14ac:dyDescent="0.25">
      <c r="A440" s="44" t="str">
        <f t="shared" si="13"/>
        <v>1557Septiembre2023</v>
      </c>
      <c r="B440" s="44">
        <v>19</v>
      </c>
      <c r="C440" s="44">
        <v>1557</v>
      </c>
      <c r="D440" s="51" t="s">
        <v>12</v>
      </c>
      <c r="E440" s="44">
        <v>412</v>
      </c>
      <c r="F440" s="44">
        <v>698</v>
      </c>
      <c r="G440" s="52">
        <f t="shared" si="14"/>
        <v>0.5902578796561605</v>
      </c>
      <c r="H440" s="44" t="s">
        <v>48</v>
      </c>
      <c r="I440" s="44">
        <v>2023</v>
      </c>
    </row>
    <row r="441" spans="1:9" x14ac:dyDescent="0.25">
      <c r="A441" s="44" t="str">
        <f t="shared" si="13"/>
        <v>239Septiembre2023</v>
      </c>
      <c r="B441" s="44">
        <v>20</v>
      </c>
      <c r="C441" s="44">
        <v>239</v>
      </c>
      <c r="D441" s="51" t="s">
        <v>32</v>
      </c>
      <c r="E441" s="44">
        <v>1550</v>
      </c>
      <c r="F441" s="44">
        <v>2647</v>
      </c>
      <c r="G441" s="52">
        <f t="shared" si="14"/>
        <v>0.58556856819040426</v>
      </c>
      <c r="H441" s="44" t="s">
        <v>48</v>
      </c>
      <c r="I441" s="44">
        <v>2023</v>
      </c>
    </row>
    <row r="442" spans="1:9" x14ac:dyDescent="0.25">
      <c r="A442" s="44" t="str">
        <f t="shared" si="13"/>
        <v>28745Septiembre2023</v>
      </c>
      <c r="B442" s="44">
        <v>21</v>
      </c>
      <c r="C442" s="44">
        <v>28745</v>
      </c>
      <c r="D442" s="51" t="s">
        <v>6</v>
      </c>
      <c r="E442" s="44">
        <v>349</v>
      </c>
      <c r="F442" s="44">
        <v>784</v>
      </c>
      <c r="G442" s="52">
        <f t="shared" si="14"/>
        <v>0.44515306122448978</v>
      </c>
      <c r="H442" s="44" t="s">
        <v>48</v>
      </c>
      <c r="I442" s="44">
        <v>2023</v>
      </c>
    </row>
    <row r="443" spans="1:9" x14ac:dyDescent="0.25">
      <c r="A443" s="44" t="str">
        <f t="shared" si="13"/>
        <v>11117Octubre2023</v>
      </c>
      <c r="B443" s="44">
        <v>1</v>
      </c>
      <c r="C443" s="44">
        <v>11117</v>
      </c>
      <c r="D443" s="51" t="s">
        <v>15</v>
      </c>
      <c r="E443" s="44">
        <v>8623</v>
      </c>
      <c r="F443" s="44">
        <v>8871</v>
      </c>
      <c r="G443" s="52">
        <f t="shared" si="14"/>
        <v>0.97204373802277078</v>
      </c>
      <c r="H443" s="44" t="s">
        <v>49</v>
      </c>
      <c r="I443" s="44">
        <v>2023</v>
      </c>
    </row>
    <row r="444" spans="1:9" x14ac:dyDescent="0.25">
      <c r="A444" s="44" t="str">
        <f t="shared" si="13"/>
        <v>242Octubre2023</v>
      </c>
      <c r="B444" s="44">
        <v>2</v>
      </c>
      <c r="C444" s="44">
        <v>242</v>
      </c>
      <c r="D444" s="51" t="s">
        <v>7</v>
      </c>
      <c r="E444" s="44">
        <v>3168</v>
      </c>
      <c r="F444" s="44">
        <v>3350</v>
      </c>
      <c r="G444" s="52">
        <f t="shared" si="14"/>
        <v>0.94567164179104479</v>
      </c>
      <c r="H444" s="44" t="s">
        <v>49</v>
      </c>
      <c r="I444" s="44">
        <v>2023</v>
      </c>
    </row>
    <row r="445" spans="1:9" x14ac:dyDescent="0.25">
      <c r="A445" s="44" t="str">
        <f t="shared" si="13"/>
        <v>233Octubre2023</v>
      </c>
      <c r="B445" s="44">
        <v>3</v>
      </c>
      <c r="C445" s="44">
        <v>233</v>
      </c>
      <c r="D445" s="51" t="s">
        <v>27</v>
      </c>
      <c r="E445" s="44">
        <v>7181</v>
      </c>
      <c r="F445" s="44">
        <v>7675</v>
      </c>
      <c r="G445" s="52">
        <f t="shared" si="14"/>
        <v>0.93563517915309447</v>
      </c>
      <c r="H445" s="44" t="s">
        <v>49</v>
      </c>
      <c r="I445" s="44">
        <v>2023</v>
      </c>
    </row>
    <row r="446" spans="1:9" x14ac:dyDescent="0.25">
      <c r="A446" s="44" t="str">
        <f t="shared" si="13"/>
        <v>236Octubre2023</v>
      </c>
      <c r="B446" s="44">
        <v>4</v>
      </c>
      <c r="C446" s="44">
        <v>236</v>
      </c>
      <c r="D446" s="51" t="s">
        <v>25</v>
      </c>
      <c r="E446" s="44">
        <v>3554</v>
      </c>
      <c r="F446" s="44">
        <v>3837</v>
      </c>
      <c r="G446" s="52">
        <f t="shared" si="14"/>
        <v>0.92624446181912956</v>
      </c>
      <c r="H446" s="44" t="s">
        <v>49</v>
      </c>
      <c r="I446" s="44">
        <v>2023</v>
      </c>
    </row>
    <row r="447" spans="1:9" x14ac:dyDescent="0.25">
      <c r="A447" s="44" t="str">
        <f t="shared" si="13"/>
        <v>11882Octubre2023</v>
      </c>
      <c r="B447" s="44">
        <v>5</v>
      </c>
      <c r="C447" s="44">
        <v>11882</v>
      </c>
      <c r="D447" s="51" t="s">
        <v>22</v>
      </c>
      <c r="E447" s="44">
        <v>1262</v>
      </c>
      <c r="F447" s="44">
        <v>1366</v>
      </c>
      <c r="G447" s="52">
        <f t="shared" si="14"/>
        <v>0.92386530014641288</v>
      </c>
      <c r="H447" s="44" t="s">
        <v>49</v>
      </c>
      <c r="I447" s="44">
        <v>2023</v>
      </c>
    </row>
    <row r="448" spans="1:9" x14ac:dyDescent="0.25">
      <c r="A448" s="44" t="str">
        <f t="shared" si="13"/>
        <v>234Octubre2023</v>
      </c>
      <c r="B448" s="44">
        <v>6</v>
      </c>
      <c r="C448" s="44">
        <v>234</v>
      </c>
      <c r="D448" s="51" t="s">
        <v>18</v>
      </c>
      <c r="E448" s="44">
        <v>4573</v>
      </c>
      <c r="F448" s="44">
        <v>4979</v>
      </c>
      <c r="G448" s="52">
        <f t="shared" si="14"/>
        <v>0.91845752159068084</v>
      </c>
      <c r="H448" s="44" t="s">
        <v>49</v>
      </c>
      <c r="I448" s="44">
        <v>2023</v>
      </c>
    </row>
    <row r="449" spans="1:9" x14ac:dyDescent="0.25">
      <c r="A449" s="44" t="str">
        <f t="shared" si="13"/>
        <v>10904Octubre2023</v>
      </c>
      <c r="B449" s="44">
        <v>7</v>
      </c>
      <c r="C449" s="44">
        <v>10904</v>
      </c>
      <c r="D449" s="51" t="s">
        <v>29</v>
      </c>
      <c r="E449" s="44">
        <v>1127</v>
      </c>
      <c r="F449" s="44">
        <v>1245</v>
      </c>
      <c r="G449" s="52">
        <f t="shared" si="14"/>
        <v>0.90522088353413654</v>
      </c>
      <c r="H449" s="44" t="s">
        <v>49</v>
      </c>
      <c r="I449" s="44">
        <v>2023</v>
      </c>
    </row>
    <row r="450" spans="1:9" x14ac:dyDescent="0.25">
      <c r="A450" s="44" t="str">
        <f t="shared" ref="A450:A513" si="15">C450&amp;H450&amp;I450</f>
        <v>241Octubre2023</v>
      </c>
      <c r="B450" s="44">
        <v>8</v>
      </c>
      <c r="C450" s="44">
        <v>241</v>
      </c>
      <c r="D450" s="51" t="s">
        <v>30</v>
      </c>
      <c r="E450" s="44">
        <v>2012</v>
      </c>
      <c r="F450" s="44">
        <v>2212</v>
      </c>
      <c r="G450" s="52">
        <f t="shared" si="14"/>
        <v>0.90958408679927671</v>
      </c>
      <c r="H450" s="44" t="s">
        <v>49</v>
      </c>
      <c r="I450" s="44">
        <v>2023</v>
      </c>
    </row>
    <row r="451" spans="1:9" x14ac:dyDescent="0.25">
      <c r="A451" s="44" t="str">
        <f t="shared" si="15"/>
        <v>246Octubre2023</v>
      </c>
      <c r="B451" s="44">
        <v>9</v>
      </c>
      <c r="C451" s="44">
        <v>246</v>
      </c>
      <c r="D451" s="51" t="s">
        <v>9</v>
      </c>
      <c r="E451" s="44">
        <v>2418</v>
      </c>
      <c r="F451" s="44">
        <v>2677</v>
      </c>
      <c r="G451" s="52">
        <f t="shared" si="14"/>
        <v>0.90324990661187898</v>
      </c>
      <c r="H451" s="44" t="s">
        <v>49</v>
      </c>
      <c r="I451" s="44">
        <v>2023</v>
      </c>
    </row>
    <row r="452" spans="1:9" x14ac:dyDescent="0.25">
      <c r="A452" s="44" t="str">
        <f t="shared" si="15"/>
        <v>1557Octubre2023</v>
      </c>
      <c r="B452" s="44">
        <v>10</v>
      </c>
      <c r="C452" s="44">
        <v>1557</v>
      </c>
      <c r="D452" s="51" t="s">
        <v>12</v>
      </c>
      <c r="E452" s="44">
        <v>1240</v>
      </c>
      <c r="F452" s="44">
        <v>1415</v>
      </c>
      <c r="G452" s="52">
        <f t="shared" si="14"/>
        <v>0.87632508833922262</v>
      </c>
      <c r="H452" s="44" t="s">
        <v>49</v>
      </c>
      <c r="I452" s="44">
        <v>2023</v>
      </c>
    </row>
    <row r="453" spans="1:9" x14ac:dyDescent="0.25">
      <c r="A453" s="44" t="str">
        <f t="shared" si="15"/>
        <v>239Octubre2023</v>
      </c>
      <c r="B453" s="44">
        <v>11</v>
      </c>
      <c r="C453" s="44">
        <v>239</v>
      </c>
      <c r="D453" s="51" t="s">
        <v>32</v>
      </c>
      <c r="E453" s="44">
        <v>3065</v>
      </c>
      <c r="F453" s="44">
        <v>3496</v>
      </c>
      <c r="G453" s="52">
        <f t="shared" si="14"/>
        <v>0.87671624713958807</v>
      </c>
      <c r="H453" s="44" t="s">
        <v>49</v>
      </c>
      <c r="I453" s="44">
        <v>2023</v>
      </c>
    </row>
    <row r="454" spans="1:9" x14ac:dyDescent="0.25">
      <c r="A454" s="44" t="str">
        <f t="shared" si="15"/>
        <v>28745Octubre2023</v>
      </c>
      <c r="B454" s="44">
        <v>12</v>
      </c>
      <c r="C454" s="44">
        <v>28745</v>
      </c>
      <c r="D454" s="51" t="s">
        <v>6</v>
      </c>
      <c r="E454" s="44">
        <v>276</v>
      </c>
      <c r="F454" s="44">
        <v>319</v>
      </c>
      <c r="G454" s="52">
        <f t="shared" si="14"/>
        <v>0.86520376175548586</v>
      </c>
      <c r="H454" s="44" t="s">
        <v>49</v>
      </c>
      <c r="I454" s="44">
        <v>2023</v>
      </c>
    </row>
    <row r="455" spans="1:9" x14ac:dyDescent="0.25">
      <c r="A455" s="44" t="str">
        <f t="shared" si="15"/>
        <v>11931Octubre2023</v>
      </c>
      <c r="B455" s="44">
        <v>13</v>
      </c>
      <c r="C455" s="44">
        <v>11931</v>
      </c>
      <c r="D455" s="51" t="s">
        <v>39</v>
      </c>
      <c r="E455" s="44">
        <v>2373</v>
      </c>
      <c r="F455" s="44">
        <v>2729</v>
      </c>
      <c r="G455" s="52">
        <f t="shared" si="14"/>
        <v>0.86954928545254673</v>
      </c>
      <c r="H455" s="44" t="s">
        <v>49</v>
      </c>
      <c r="I455" s="44">
        <v>2023</v>
      </c>
    </row>
    <row r="456" spans="1:9" x14ac:dyDescent="0.25">
      <c r="A456" s="44" t="str">
        <f t="shared" si="15"/>
        <v>11116Octubre2023</v>
      </c>
      <c r="B456" s="44">
        <v>14</v>
      </c>
      <c r="C456" s="44">
        <v>11116</v>
      </c>
      <c r="D456" s="51" t="s">
        <v>28</v>
      </c>
      <c r="E456" s="44">
        <v>9267</v>
      </c>
      <c r="F456" s="44">
        <v>10747</v>
      </c>
      <c r="G456" s="52">
        <f t="shared" si="14"/>
        <v>0.86228714990229827</v>
      </c>
      <c r="H456" s="44" t="s">
        <v>49</v>
      </c>
      <c r="I456" s="44">
        <v>2023</v>
      </c>
    </row>
    <row r="457" spans="1:9" x14ac:dyDescent="0.25">
      <c r="A457" s="44" t="str">
        <f t="shared" si="15"/>
        <v>11799Octubre2023</v>
      </c>
      <c r="B457" s="44">
        <v>15</v>
      </c>
      <c r="C457" s="44">
        <v>11799</v>
      </c>
      <c r="D457" s="51" t="s">
        <v>21</v>
      </c>
      <c r="E457" s="44">
        <v>1559</v>
      </c>
      <c r="F457" s="44">
        <v>1830</v>
      </c>
      <c r="G457" s="52">
        <f t="shared" si="14"/>
        <v>0.85191256830601092</v>
      </c>
      <c r="H457" s="44" t="s">
        <v>49</v>
      </c>
      <c r="I457" s="44">
        <v>2023</v>
      </c>
    </row>
    <row r="458" spans="1:9" x14ac:dyDescent="0.25">
      <c r="A458" s="44" t="str">
        <f t="shared" si="15"/>
        <v>243Octubre2023</v>
      </c>
      <c r="B458" s="44">
        <v>16</v>
      </c>
      <c r="C458" s="44">
        <v>243</v>
      </c>
      <c r="D458" s="51" t="s">
        <v>34</v>
      </c>
      <c r="E458" s="44">
        <v>2603</v>
      </c>
      <c r="F458" s="44">
        <v>3135</v>
      </c>
      <c r="G458" s="52">
        <f t="shared" si="14"/>
        <v>0.83030303030303032</v>
      </c>
      <c r="H458" s="44" t="s">
        <v>49</v>
      </c>
      <c r="I458" s="44">
        <v>2023</v>
      </c>
    </row>
    <row r="459" spans="1:9" x14ac:dyDescent="0.25">
      <c r="A459" s="44" t="str">
        <f t="shared" si="15"/>
        <v>10951Octubre2023</v>
      </c>
      <c r="B459" s="44">
        <v>17</v>
      </c>
      <c r="C459" s="44">
        <v>10951</v>
      </c>
      <c r="D459" s="51" t="s">
        <v>24</v>
      </c>
      <c r="E459" s="44">
        <v>1297</v>
      </c>
      <c r="F459" s="44">
        <v>1590</v>
      </c>
      <c r="G459" s="52">
        <f t="shared" si="14"/>
        <v>0.81572327044025161</v>
      </c>
      <c r="H459" s="44" t="s">
        <v>49</v>
      </c>
      <c r="I459" s="44">
        <v>2023</v>
      </c>
    </row>
    <row r="460" spans="1:9" x14ac:dyDescent="0.25">
      <c r="A460" s="44" t="str">
        <f t="shared" si="15"/>
        <v>238Octubre2023</v>
      </c>
      <c r="B460" s="44">
        <v>18</v>
      </c>
      <c r="C460" s="44">
        <v>238</v>
      </c>
      <c r="D460" s="51" t="s">
        <v>35</v>
      </c>
      <c r="E460" s="44">
        <v>1606</v>
      </c>
      <c r="F460" s="44">
        <v>2038</v>
      </c>
      <c r="G460" s="52">
        <f t="shared" si="14"/>
        <v>0.78802747791952898</v>
      </c>
      <c r="H460" s="44" t="s">
        <v>49</v>
      </c>
      <c r="I460" s="44">
        <v>2023</v>
      </c>
    </row>
    <row r="461" spans="1:9" x14ac:dyDescent="0.25">
      <c r="A461" s="44" t="str">
        <f t="shared" si="15"/>
        <v>237Octubre2023</v>
      </c>
      <c r="B461" s="44">
        <v>19</v>
      </c>
      <c r="C461" s="44">
        <v>237</v>
      </c>
      <c r="D461" s="51" t="s">
        <v>31</v>
      </c>
      <c r="E461" s="44">
        <v>4153</v>
      </c>
      <c r="F461" s="44">
        <v>5829</v>
      </c>
      <c r="G461" s="52">
        <f t="shared" si="14"/>
        <v>0.71247212214788125</v>
      </c>
      <c r="H461" s="44" t="s">
        <v>49</v>
      </c>
      <c r="I461" s="44">
        <v>2023</v>
      </c>
    </row>
    <row r="462" spans="1:9" x14ac:dyDescent="0.25">
      <c r="A462" s="44" t="str">
        <f t="shared" si="15"/>
        <v>240Octubre2023</v>
      </c>
      <c r="B462" s="44">
        <v>20</v>
      </c>
      <c r="C462" s="44">
        <v>240</v>
      </c>
      <c r="D462" s="51" t="s">
        <v>23</v>
      </c>
      <c r="E462" s="44">
        <v>1199</v>
      </c>
      <c r="F462" s="44">
        <v>2557</v>
      </c>
      <c r="G462" s="52">
        <f t="shared" si="14"/>
        <v>0.46890887759092686</v>
      </c>
      <c r="H462" s="44" t="s">
        <v>49</v>
      </c>
      <c r="I462" s="44">
        <v>2023</v>
      </c>
    </row>
    <row r="463" spans="1:9" x14ac:dyDescent="0.25">
      <c r="A463" s="44" t="str">
        <f t="shared" si="15"/>
        <v>235Octubre2023</v>
      </c>
      <c r="B463" s="44">
        <v>21</v>
      </c>
      <c r="C463" s="44">
        <v>235</v>
      </c>
      <c r="D463" s="51" t="s">
        <v>33</v>
      </c>
      <c r="E463" s="44">
        <v>2638</v>
      </c>
      <c r="F463" s="44">
        <v>6452</v>
      </c>
      <c r="G463" s="52">
        <f t="shared" si="14"/>
        <v>0.40886546807191571</v>
      </c>
      <c r="H463" s="44" t="s">
        <v>49</v>
      </c>
      <c r="I463" s="44">
        <v>2023</v>
      </c>
    </row>
    <row r="464" spans="1:9" x14ac:dyDescent="0.25">
      <c r="A464" s="44" t="str">
        <f t="shared" si="15"/>
        <v>11799Noviembre2023</v>
      </c>
      <c r="B464" s="44">
        <v>1</v>
      </c>
      <c r="C464" s="44">
        <v>11799</v>
      </c>
      <c r="D464" s="51" t="s">
        <v>21</v>
      </c>
      <c r="E464" s="44">
        <v>1662</v>
      </c>
      <c r="F464" s="44">
        <v>1663</v>
      </c>
      <c r="G464" s="52">
        <f t="shared" si="14"/>
        <v>0.99939867708959707</v>
      </c>
      <c r="H464" s="44" t="s">
        <v>50</v>
      </c>
      <c r="I464" s="44">
        <v>2023</v>
      </c>
    </row>
    <row r="465" spans="1:9" x14ac:dyDescent="0.25">
      <c r="A465" s="44" t="str">
        <f t="shared" si="15"/>
        <v>235Noviembre2023</v>
      </c>
      <c r="B465" s="44">
        <v>2</v>
      </c>
      <c r="C465" s="44">
        <v>235</v>
      </c>
      <c r="D465" s="51" t="s">
        <v>33</v>
      </c>
      <c r="E465" s="44">
        <v>3502</v>
      </c>
      <c r="F465" s="44">
        <v>3506</v>
      </c>
      <c r="G465" s="52">
        <f t="shared" si="14"/>
        <v>0.99885909868796352</v>
      </c>
      <c r="H465" s="44" t="s">
        <v>50</v>
      </c>
      <c r="I465" s="44">
        <v>2023</v>
      </c>
    </row>
    <row r="466" spans="1:9" x14ac:dyDescent="0.25">
      <c r="A466" s="44" t="str">
        <f t="shared" si="15"/>
        <v>246Noviembre2023</v>
      </c>
      <c r="B466" s="44">
        <v>3</v>
      </c>
      <c r="C466" s="44">
        <v>246</v>
      </c>
      <c r="D466" s="51" t="s">
        <v>9</v>
      </c>
      <c r="E466" s="44">
        <v>3507</v>
      </c>
      <c r="F466" s="44">
        <v>3520</v>
      </c>
      <c r="G466" s="52">
        <f t="shared" si="14"/>
        <v>0.99630681818181821</v>
      </c>
      <c r="H466" s="44" t="s">
        <v>50</v>
      </c>
      <c r="I466" s="44">
        <v>2023</v>
      </c>
    </row>
    <row r="467" spans="1:9" x14ac:dyDescent="0.25">
      <c r="A467" s="44" t="str">
        <f t="shared" si="15"/>
        <v>28745Noviembre2023</v>
      </c>
      <c r="B467" s="44">
        <v>4</v>
      </c>
      <c r="C467" s="44">
        <v>28745</v>
      </c>
      <c r="D467" s="51" t="s">
        <v>6</v>
      </c>
      <c r="E467" s="44">
        <v>379</v>
      </c>
      <c r="F467" s="44">
        <v>379</v>
      </c>
      <c r="G467" s="52">
        <f t="shared" si="14"/>
        <v>1</v>
      </c>
      <c r="H467" s="44" t="s">
        <v>50</v>
      </c>
      <c r="I467" s="44">
        <v>2023</v>
      </c>
    </row>
    <row r="468" spans="1:9" x14ac:dyDescent="0.25">
      <c r="A468" s="44" t="str">
        <f t="shared" si="15"/>
        <v>234Noviembre2023</v>
      </c>
      <c r="B468" s="44">
        <v>5</v>
      </c>
      <c r="C468" s="44">
        <v>234</v>
      </c>
      <c r="D468" s="51" t="s">
        <v>18</v>
      </c>
      <c r="E468" s="44">
        <v>3962</v>
      </c>
      <c r="F468" s="44">
        <v>4187</v>
      </c>
      <c r="G468" s="52">
        <f t="shared" si="14"/>
        <v>0.94626224026749461</v>
      </c>
      <c r="H468" s="44" t="s">
        <v>50</v>
      </c>
      <c r="I468" s="44">
        <v>2023</v>
      </c>
    </row>
    <row r="469" spans="1:9" x14ac:dyDescent="0.25">
      <c r="A469" s="44" t="str">
        <f t="shared" si="15"/>
        <v>11117Noviembre2023</v>
      </c>
      <c r="B469" s="44">
        <v>6</v>
      </c>
      <c r="C469" s="44">
        <v>11117</v>
      </c>
      <c r="D469" s="51" t="s">
        <v>15</v>
      </c>
      <c r="E469" s="44">
        <v>8673</v>
      </c>
      <c r="F469" s="44">
        <v>9407</v>
      </c>
      <c r="G469" s="52">
        <f t="shared" si="14"/>
        <v>0.92197299883065797</v>
      </c>
      <c r="H469" s="44" t="s">
        <v>50</v>
      </c>
      <c r="I469" s="44">
        <v>2023</v>
      </c>
    </row>
    <row r="470" spans="1:9" x14ac:dyDescent="0.25">
      <c r="A470" s="44" t="str">
        <f t="shared" si="15"/>
        <v>11882Noviembre2023</v>
      </c>
      <c r="B470" s="44">
        <v>7</v>
      </c>
      <c r="C470" s="44">
        <v>11882</v>
      </c>
      <c r="D470" s="51" t="s">
        <v>22</v>
      </c>
      <c r="E470" s="44">
        <v>901</v>
      </c>
      <c r="F470" s="44">
        <v>978</v>
      </c>
      <c r="G470" s="52">
        <f t="shared" si="14"/>
        <v>0.92126789366053174</v>
      </c>
      <c r="H470" s="44" t="s">
        <v>50</v>
      </c>
      <c r="I470" s="44">
        <v>2023</v>
      </c>
    </row>
    <row r="471" spans="1:9" x14ac:dyDescent="0.25">
      <c r="A471" s="44" t="str">
        <f t="shared" si="15"/>
        <v>239Noviembre2023</v>
      </c>
      <c r="B471" s="44">
        <v>8</v>
      </c>
      <c r="C471" s="44">
        <v>239</v>
      </c>
      <c r="D471" s="51" t="s">
        <v>32</v>
      </c>
      <c r="E471" s="44">
        <v>2938</v>
      </c>
      <c r="F471" s="44">
        <v>3204</v>
      </c>
      <c r="G471" s="52">
        <f t="shared" si="14"/>
        <v>0.91697877652933835</v>
      </c>
      <c r="H471" s="44" t="s">
        <v>50</v>
      </c>
      <c r="I471" s="44">
        <v>2023</v>
      </c>
    </row>
    <row r="472" spans="1:9" x14ac:dyDescent="0.25">
      <c r="A472" s="44" t="str">
        <f t="shared" si="15"/>
        <v>1557Noviembre2023</v>
      </c>
      <c r="B472" s="44">
        <v>9</v>
      </c>
      <c r="C472" s="44">
        <v>1557</v>
      </c>
      <c r="D472" s="51" t="s">
        <v>12</v>
      </c>
      <c r="E472" s="44">
        <v>1142</v>
      </c>
      <c r="F472" s="44">
        <v>1274</v>
      </c>
      <c r="G472" s="52">
        <f t="shared" si="14"/>
        <v>0.89638932496075352</v>
      </c>
      <c r="H472" s="44" t="s">
        <v>50</v>
      </c>
      <c r="I472" s="44">
        <v>2023</v>
      </c>
    </row>
    <row r="473" spans="1:9" x14ac:dyDescent="0.25">
      <c r="A473" s="44" t="str">
        <f t="shared" si="15"/>
        <v>11931Noviembre2023</v>
      </c>
      <c r="B473" s="44">
        <v>10</v>
      </c>
      <c r="C473" s="44">
        <v>11931</v>
      </c>
      <c r="D473" s="51" t="s">
        <v>39</v>
      </c>
      <c r="E473" s="44">
        <v>2524</v>
      </c>
      <c r="F473" s="44">
        <v>2858</v>
      </c>
      <c r="G473" s="52">
        <f t="shared" si="14"/>
        <v>0.88313505948215532</v>
      </c>
      <c r="H473" s="44" t="s">
        <v>50</v>
      </c>
      <c r="I473" s="44">
        <v>2023</v>
      </c>
    </row>
    <row r="474" spans="1:9" x14ac:dyDescent="0.25">
      <c r="A474" s="44" t="str">
        <f t="shared" si="15"/>
        <v>11116Noviembre2023</v>
      </c>
      <c r="B474" s="44">
        <v>11</v>
      </c>
      <c r="C474" s="44">
        <v>11116</v>
      </c>
      <c r="D474" s="51" t="s">
        <v>28</v>
      </c>
      <c r="E474" s="44">
        <v>7484</v>
      </c>
      <c r="F474" s="44">
        <v>8629</v>
      </c>
      <c r="G474" s="52">
        <f t="shared" si="14"/>
        <v>0.86730791516977634</v>
      </c>
      <c r="H474" s="44" t="s">
        <v>50</v>
      </c>
      <c r="I474" s="44">
        <v>2023</v>
      </c>
    </row>
    <row r="475" spans="1:9" x14ac:dyDescent="0.25">
      <c r="A475" s="44" t="str">
        <f t="shared" si="15"/>
        <v>233Noviembre2023</v>
      </c>
      <c r="B475" s="44">
        <v>12</v>
      </c>
      <c r="C475" s="44">
        <v>233</v>
      </c>
      <c r="D475" s="51" t="s">
        <v>27</v>
      </c>
      <c r="E475" s="44">
        <v>7863</v>
      </c>
      <c r="F475" s="44">
        <v>9141</v>
      </c>
      <c r="G475" s="52">
        <f t="shared" si="14"/>
        <v>0.86019035116508036</v>
      </c>
      <c r="H475" s="44" t="s">
        <v>50</v>
      </c>
      <c r="I475" s="44">
        <v>2023</v>
      </c>
    </row>
    <row r="476" spans="1:9" x14ac:dyDescent="0.25">
      <c r="A476" s="44" t="str">
        <f t="shared" si="15"/>
        <v>236Noviembre2023</v>
      </c>
      <c r="B476" s="44">
        <v>13</v>
      </c>
      <c r="C476" s="44">
        <v>236</v>
      </c>
      <c r="D476" s="51" t="s">
        <v>25</v>
      </c>
      <c r="E476" s="44">
        <v>3613</v>
      </c>
      <c r="F476" s="44">
        <v>4265</v>
      </c>
      <c r="G476" s="52">
        <f t="shared" si="14"/>
        <v>0.84712778429073854</v>
      </c>
      <c r="H476" s="44" t="s">
        <v>50</v>
      </c>
      <c r="I476" s="44">
        <v>2023</v>
      </c>
    </row>
    <row r="477" spans="1:9" x14ac:dyDescent="0.25">
      <c r="A477" s="44" t="str">
        <f t="shared" si="15"/>
        <v>241Noviembre2023</v>
      </c>
      <c r="B477" s="44">
        <v>14</v>
      </c>
      <c r="C477" s="44">
        <v>241</v>
      </c>
      <c r="D477" s="51" t="s">
        <v>30</v>
      </c>
      <c r="E477" s="44">
        <v>1848</v>
      </c>
      <c r="F477" s="44">
        <v>2184</v>
      </c>
      <c r="G477" s="52">
        <f t="shared" si="14"/>
        <v>0.84615384615384615</v>
      </c>
      <c r="H477" s="44" t="s">
        <v>50</v>
      </c>
      <c r="I477" s="44">
        <v>2023</v>
      </c>
    </row>
    <row r="478" spans="1:9" x14ac:dyDescent="0.25">
      <c r="A478" s="44" t="str">
        <f t="shared" si="15"/>
        <v>237Noviembre2023</v>
      </c>
      <c r="B478" s="44">
        <v>15</v>
      </c>
      <c r="C478" s="44">
        <v>237</v>
      </c>
      <c r="D478" s="51" t="s">
        <v>31</v>
      </c>
      <c r="E478" s="44">
        <v>4743</v>
      </c>
      <c r="F478" s="44">
        <v>5674</v>
      </c>
      <c r="G478" s="52">
        <f t="shared" si="14"/>
        <v>0.83591822347550226</v>
      </c>
      <c r="H478" s="44" t="s">
        <v>50</v>
      </c>
      <c r="I478" s="44">
        <v>2023</v>
      </c>
    </row>
    <row r="479" spans="1:9" x14ac:dyDescent="0.25">
      <c r="A479" s="44" t="str">
        <f t="shared" si="15"/>
        <v>242Noviembre2023</v>
      </c>
      <c r="B479" s="44">
        <v>16</v>
      </c>
      <c r="C479" s="44">
        <v>242</v>
      </c>
      <c r="D479" s="51" t="s">
        <v>7</v>
      </c>
      <c r="E479" s="44">
        <v>3000</v>
      </c>
      <c r="F479" s="44">
        <v>3551</v>
      </c>
      <c r="G479" s="52">
        <f t="shared" si="14"/>
        <v>0.8448324415657561</v>
      </c>
      <c r="H479" s="44" t="s">
        <v>50</v>
      </c>
      <c r="I479" s="44">
        <v>2023</v>
      </c>
    </row>
    <row r="480" spans="1:9" x14ac:dyDescent="0.25">
      <c r="A480" s="44" t="str">
        <f t="shared" si="15"/>
        <v>10951Noviembre2023</v>
      </c>
      <c r="B480" s="44">
        <v>17</v>
      </c>
      <c r="C480" s="44">
        <v>10951</v>
      </c>
      <c r="D480" s="51" t="s">
        <v>24</v>
      </c>
      <c r="E480" s="44">
        <v>1348</v>
      </c>
      <c r="F480" s="44">
        <v>1628</v>
      </c>
      <c r="G480" s="52">
        <f t="shared" si="14"/>
        <v>0.82800982800982803</v>
      </c>
      <c r="H480" s="44" t="s">
        <v>50</v>
      </c>
      <c r="I480" s="44">
        <v>2023</v>
      </c>
    </row>
    <row r="481" spans="1:9" x14ac:dyDescent="0.25">
      <c r="A481" s="44" t="str">
        <f t="shared" si="15"/>
        <v>10904Noviembre2023</v>
      </c>
      <c r="B481" s="44">
        <v>18</v>
      </c>
      <c r="C481" s="44">
        <v>10904</v>
      </c>
      <c r="D481" s="51" t="s">
        <v>29</v>
      </c>
      <c r="E481" s="44">
        <v>804</v>
      </c>
      <c r="F481" s="44">
        <v>1013</v>
      </c>
      <c r="G481" s="52">
        <f t="shared" si="14"/>
        <v>0.79368213228035533</v>
      </c>
      <c r="H481" s="44" t="s">
        <v>50</v>
      </c>
      <c r="I481" s="44">
        <v>2023</v>
      </c>
    </row>
    <row r="482" spans="1:9" x14ac:dyDescent="0.25">
      <c r="A482" s="44" t="str">
        <f t="shared" si="15"/>
        <v>238Noviembre2023</v>
      </c>
      <c r="B482" s="44">
        <v>19</v>
      </c>
      <c r="C482" s="44">
        <v>238</v>
      </c>
      <c r="D482" s="51" t="s">
        <v>35</v>
      </c>
      <c r="E482" s="44">
        <v>2112</v>
      </c>
      <c r="F482" s="44">
        <v>2971</v>
      </c>
      <c r="G482" s="52">
        <f t="shared" si="14"/>
        <v>0.71087176035005051</v>
      </c>
      <c r="H482" s="44" t="s">
        <v>50</v>
      </c>
      <c r="I482" s="44">
        <v>2023</v>
      </c>
    </row>
    <row r="483" spans="1:9" x14ac:dyDescent="0.25">
      <c r="A483" s="44" t="str">
        <f t="shared" si="15"/>
        <v>240Noviembre2023</v>
      </c>
      <c r="B483" s="44">
        <v>20</v>
      </c>
      <c r="C483" s="44">
        <v>240</v>
      </c>
      <c r="D483" s="51" t="s">
        <v>23</v>
      </c>
      <c r="E483" s="44">
        <v>1536</v>
      </c>
      <c r="F483" s="44">
        <v>2240</v>
      </c>
      <c r="G483" s="52">
        <f t="shared" si="14"/>
        <v>0.68571428571428572</v>
      </c>
      <c r="H483" s="44" t="s">
        <v>50</v>
      </c>
      <c r="I483" s="44">
        <v>2023</v>
      </c>
    </row>
    <row r="484" spans="1:9" x14ac:dyDescent="0.25">
      <c r="A484" s="44" t="str">
        <f t="shared" si="15"/>
        <v>243Noviembre2023</v>
      </c>
      <c r="B484" s="44">
        <v>21</v>
      </c>
      <c r="C484" s="44">
        <v>243</v>
      </c>
      <c r="D484" s="51" t="s">
        <v>34</v>
      </c>
      <c r="E484" s="44">
        <v>2827</v>
      </c>
      <c r="F484" s="44">
        <v>4392</v>
      </c>
      <c r="G484" s="52">
        <f t="shared" si="14"/>
        <v>0.64367030965391625</v>
      </c>
      <c r="H484" s="44" t="s">
        <v>50</v>
      </c>
      <c r="I484" s="44">
        <v>2023</v>
      </c>
    </row>
    <row r="485" spans="1:9" x14ac:dyDescent="0.25">
      <c r="A485" s="44" t="str">
        <f t="shared" si="15"/>
        <v>11799Enero2024</v>
      </c>
      <c r="B485" s="44">
        <v>1</v>
      </c>
      <c r="C485" s="44">
        <v>11799</v>
      </c>
      <c r="D485" s="51" t="s">
        <v>21</v>
      </c>
      <c r="E485" s="44">
        <v>517</v>
      </c>
      <c r="F485" s="44">
        <v>517</v>
      </c>
      <c r="G485" s="52">
        <f t="shared" si="14"/>
        <v>1</v>
      </c>
      <c r="H485" s="44" t="s">
        <v>40</v>
      </c>
      <c r="I485" s="44">
        <v>2024</v>
      </c>
    </row>
    <row r="486" spans="1:9" x14ac:dyDescent="0.25">
      <c r="A486" s="44" t="str">
        <f t="shared" si="15"/>
        <v>235Enero2024</v>
      </c>
      <c r="B486" s="44">
        <v>2</v>
      </c>
      <c r="C486" s="44">
        <v>235</v>
      </c>
      <c r="D486" s="51" t="s">
        <v>33</v>
      </c>
      <c r="E486" s="44">
        <v>2490</v>
      </c>
      <c r="F486" s="44">
        <v>2490</v>
      </c>
      <c r="G486" s="52">
        <f t="shared" ref="G486:G549" si="16">E486/F486</f>
        <v>1</v>
      </c>
      <c r="H486" s="44" t="s">
        <v>40</v>
      </c>
      <c r="I486" s="44">
        <v>2024</v>
      </c>
    </row>
    <row r="487" spans="1:9" x14ac:dyDescent="0.25">
      <c r="A487" s="44" t="str">
        <f t="shared" si="15"/>
        <v>11882Enero2024</v>
      </c>
      <c r="B487" s="44">
        <v>3</v>
      </c>
      <c r="C487" s="44">
        <v>11882</v>
      </c>
      <c r="D487" s="51" t="s">
        <v>22</v>
      </c>
      <c r="E487" s="44">
        <v>905</v>
      </c>
      <c r="F487" s="44">
        <v>911</v>
      </c>
      <c r="G487" s="52">
        <f t="shared" si="16"/>
        <v>0.99341383095499447</v>
      </c>
      <c r="H487" s="44" t="s">
        <v>40</v>
      </c>
      <c r="I487" s="44">
        <v>2024</v>
      </c>
    </row>
    <row r="488" spans="1:9" x14ac:dyDescent="0.25">
      <c r="A488" s="44" t="str">
        <f t="shared" si="15"/>
        <v>1557Enero2024</v>
      </c>
      <c r="B488" s="44">
        <v>4</v>
      </c>
      <c r="C488" s="44">
        <v>1557</v>
      </c>
      <c r="D488" s="51" t="s">
        <v>12</v>
      </c>
      <c r="E488" s="44">
        <v>1561</v>
      </c>
      <c r="F488" s="44">
        <v>1593</v>
      </c>
      <c r="G488" s="52">
        <f t="shared" si="16"/>
        <v>0.97991211550533586</v>
      </c>
      <c r="H488" s="44" t="s">
        <v>40</v>
      </c>
      <c r="I488" s="44">
        <v>2024</v>
      </c>
    </row>
    <row r="489" spans="1:9" x14ac:dyDescent="0.25">
      <c r="A489" s="44" t="str">
        <f t="shared" si="15"/>
        <v>28745Enero2024</v>
      </c>
      <c r="B489" s="44">
        <v>5</v>
      </c>
      <c r="C489" s="44">
        <v>28745</v>
      </c>
      <c r="D489" s="51" t="s">
        <v>6</v>
      </c>
      <c r="E489" s="44">
        <v>254</v>
      </c>
      <c r="F489" s="44">
        <v>262</v>
      </c>
      <c r="G489" s="52">
        <f t="shared" si="16"/>
        <v>0.96946564885496178</v>
      </c>
      <c r="H489" s="44" t="s">
        <v>40</v>
      </c>
      <c r="I489" s="44">
        <v>2024</v>
      </c>
    </row>
    <row r="490" spans="1:9" x14ac:dyDescent="0.25">
      <c r="A490" s="44" t="str">
        <f t="shared" si="15"/>
        <v>11117Enero2024</v>
      </c>
      <c r="B490" s="44">
        <v>6</v>
      </c>
      <c r="C490" s="44">
        <v>11117</v>
      </c>
      <c r="D490" s="51" t="s">
        <v>15</v>
      </c>
      <c r="E490" s="44">
        <v>6683</v>
      </c>
      <c r="F490" s="44">
        <v>6975</v>
      </c>
      <c r="G490" s="52">
        <f t="shared" si="16"/>
        <v>0.95813620071684591</v>
      </c>
      <c r="H490" s="44" t="s">
        <v>40</v>
      </c>
      <c r="I490" s="44">
        <v>2024</v>
      </c>
    </row>
    <row r="491" spans="1:9" x14ac:dyDescent="0.25">
      <c r="A491" s="44" t="str">
        <f t="shared" si="15"/>
        <v>233Enero2024</v>
      </c>
      <c r="B491" s="44">
        <v>7</v>
      </c>
      <c r="C491" s="44">
        <v>233</v>
      </c>
      <c r="D491" s="51" t="s">
        <v>27</v>
      </c>
      <c r="E491" s="44">
        <v>7988</v>
      </c>
      <c r="F491" s="44">
        <v>8368</v>
      </c>
      <c r="G491" s="52">
        <f t="shared" si="16"/>
        <v>0.95458891013384317</v>
      </c>
      <c r="H491" s="44" t="s">
        <v>40</v>
      </c>
      <c r="I491" s="44">
        <v>2024</v>
      </c>
    </row>
    <row r="492" spans="1:9" x14ac:dyDescent="0.25">
      <c r="A492" s="44" t="str">
        <f t="shared" si="15"/>
        <v>234Enero2024</v>
      </c>
      <c r="B492" s="44">
        <v>8</v>
      </c>
      <c r="C492" s="44">
        <v>234</v>
      </c>
      <c r="D492" s="51" t="s">
        <v>18</v>
      </c>
      <c r="E492" s="44">
        <v>3269</v>
      </c>
      <c r="F492" s="44">
        <v>3444</v>
      </c>
      <c r="G492" s="52">
        <f t="shared" si="16"/>
        <v>0.94918699186991873</v>
      </c>
      <c r="H492" s="44" t="s">
        <v>40</v>
      </c>
      <c r="I492" s="44">
        <v>2024</v>
      </c>
    </row>
    <row r="493" spans="1:9" x14ac:dyDescent="0.25">
      <c r="A493" s="44" t="str">
        <f t="shared" si="15"/>
        <v>239Enero2024</v>
      </c>
      <c r="B493" s="44">
        <v>9</v>
      </c>
      <c r="C493" s="44">
        <v>239</v>
      </c>
      <c r="D493" s="51" t="s">
        <v>32</v>
      </c>
      <c r="E493" s="44">
        <v>3130</v>
      </c>
      <c r="F493" s="44">
        <v>3279</v>
      </c>
      <c r="G493" s="52">
        <f t="shared" si="16"/>
        <v>0.95455931686489781</v>
      </c>
      <c r="H493" s="44" t="s">
        <v>40</v>
      </c>
      <c r="I493" s="44">
        <v>2024</v>
      </c>
    </row>
    <row r="494" spans="1:9" x14ac:dyDescent="0.25">
      <c r="A494" s="44" t="str">
        <f t="shared" si="15"/>
        <v>241Enero2024</v>
      </c>
      <c r="B494" s="44">
        <v>10</v>
      </c>
      <c r="C494" s="44">
        <v>241</v>
      </c>
      <c r="D494" s="51" t="s">
        <v>30</v>
      </c>
      <c r="E494" s="44">
        <v>1762</v>
      </c>
      <c r="F494" s="44">
        <v>1887</v>
      </c>
      <c r="G494" s="52">
        <f t="shared" si="16"/>
        <v>0.93375728669846314</v>
      </c>
      <c r="H494" s="44" t="s">
        <v>40</v>
      </c>
      <c r="I494" s="44">
        <v>2024</v>
      </c>
    </row>
    <row r="495" spans="1:9" x14ac:dyDescent="0.25">
      <c r="A495" s="44" t="str">
        <f t="shared" si="15"/>
        <v>237Enero2024</v>
      </c>
      <c r="B495" s="44">
        <v>11</v>
      </c>
      <c r="C495" s="44">
        <v>237</v>
      </c>
      <c r="D495" s="51" t="s">
        <v>31</v>
      </c>
      <c r="E495" s="44">
        <v>5120</v>
      </c>
      <c r="F495" s="44">
        <v>5598</v>
      </c>
      <c r="G495" s="52">
        <f t="shared" si="16"/>
        <v>0.9146123615576992</v>
      </c>
      <c r="H495" s="44" t="s">
        <v>40</v>
      </c>
      <c r="I495" s="44">
        <v>2024</v>
      </c>
    </row>
    <row r="496" spans="1:9" x14ac:dyDescent="0.25">
      <c r="A496" s="44" t="str">
        <f t="shared" si="15"/>
        <v>11931Enero2024</v>
      </c>
      <c r="B496" s="44">
        <v>12</v>
      </c>
      <c r="C496" s="44">
        <v>11931</v>
      </c>
      <c r="D496" s="51" t="s">
        <v>39</v>
      </c>
      <c r="E496" s="44">
        <v>2247</v>
      </c>
      <c r="F496" s="44">
        <v>2501</v>
      </c>
      <c r="G496" s="52">
        <f t="shared" si="16"/>
        <v>0.89844062375049982</v>
      </c>
      <c r="H496" s="44" t="s">
        <v>40</v>
      </c>
      <c r="I496" s="44">
        <v>2024</v>
      </c>
    </row>
    <row r="497" spans="1:9" x14ac:dyDescent="0.25">
      <c r="A497" s="44" t="str">
        <f t="shared" si="15"/>
        <v>10951Enero2024</v>
      </c>
      <c r="B497" s="44">
        <v>13</v>
      </c>
      <c r="C497" s="44">
        <v>10951</v>
      </c>
      <c r="D497" s="51" t="s">
        <v>24</v>
      </c>
      <c r="E497" s="44">
        <v>1518</v>
      </c>
      <c r="F497" s="44">
        <v>1703</v>
      </c>
      <c r="G497" s="52">
        <f t="shared" si="16"/>
        <v>0.89136817381092193</v>
      </c>
      <c r="H497" s="44" t="s">
        <v>40</v>
      </c>
      <c r="I497" s="44">
        <v>2024</v>
      </c>
    </row>
    <row r="498" spans="1:9" x14ac:dyDescent="0.25">
      <c r="A498" s="44" t="str">
        <f t="shared" si="15"/>
        <v>238Enero2024</v>
      </c>
      <c r="B498" s="44">
        <v>14</v>
      </c>
      <c r="C498" s="44">
        <v>238</v>
      </c>
      <c r="D498" s="51" t="s">
        <v>35</v>
      </c>
      <c r="E498" s="44">
        <v>1594</v>
      </c>
      <c r="F498" s="44">
        <v>1796</v>
      </c>
      <c r="G498" s="52">
        <f t="shared" si="16"/>
        <v>0.88752783964365256</v>
      </c>
      <c r="H498" s="44" t="s">
        <v>40</v>
      </c>
      <c r="I498" s="44">
        <v>2024</v>
      </c>
    </row>
    <row r="499" spans="1:9" x14ac:dyDescent="0.25">
      <c r="A499" s="44" t="str">
        <f t="shared" si="15"/>
        <v>11116Enero2024</v>
      </c>
      <c r="B499" s="44">
        <v>15</v>
      </c>
      <c r="C499" s="44">
        <v>11116</v>
      </c>
      <c r="D499" s="51" t="s">
        <v>28</v>
      </c>
      <c r="E499" s="44">
        <v>7463</v>
      </c>
      <c r="F499" s="44">
        <v>8627</v>
      </c>
      <c r="G499" s="52">
        <f t="shared" si="16"/>
        <v>0.86507476527182103</v>
      </c>
      <c r="H499" s="44" t="s">
        <v>40</v>
      </c>
      <c r="I499" s="44">
        <v>2024</v>
      </c>
    </row>
    <row r="500" spans="1:9" x14ac:dyDescent="0.25">
      <c r="A500" s="44" t="str">
        <f t="shared" si="15"/>
        <v>243Enero2024</v>
      </c>
      <c r="B500" s="44">
        <v>16</v>
      </c>
      <c r="C500" s="44">
        <v>243</v>
      </c>
      <c r="D500" s="51" t="s">
        <v>34</v>
      </c>
      <c r="E500" s="44">
        <v>2492</v>
      </c>
      <c r="F500" s="44">
        <v>2879</v>
      </c>
      <c r="G500" s="52">
        <f t="shared" si="16"/>
        <v>0.8655783258075721</v>
      </c>
      <c r="H500" s="44" t="s">
        <v>40</v>
      </c>
      <c r="I500" s="44">
        <v>2024</v>
      </c>
    </row>
    <row r="501" spans="1:9" x14ac:dyDescent="0.25">
      <c r="A501" s="44" t="str">
        <f t="shared" si="15"/>
        <v>10904Enero2024</v>
      </c>
      <c r="B501" s="44">
        <v>17</v>
      </c>
      <c r="C501" s="44">
        <v>10904</v>
      </c>
      <c r="D501" s="51" t="s">
        <v>29</v>
      </c>
      <c r="E501" s="44">
        <v>909</v>
      </c>
      <c r="F501" s="44">
        <v>1053</v>
      </c>
      <c r="G501" s="52">
        <f t="shared" si="16"/>
        <v>0.86324786324786329</v>
      </c>
      <c r="H501" s="44" t="s">
        <v>40</v>
      </c>
      <c r="I501" s="44">
        <v>2024</v>
      </c>
    </row>
    <row r="502" spans="1:9" x14ac:dyDescent="0.25">
      <c r="A502" s="44" t="str">
        <f t="shared" si="15"/>
        <v>236Enero2024</v>
      </c>
      <c r="B502" s="44">
        <v>18</v>
      </c>
      <c r="C502" s="44">
        <v>236</v>
      </c>
      <c r="D502" s="51" t="s">
        <v>25</v>
      </c>
      <c r="E502" s="44">
        <v>2188</v>
      </c>
      <c r="F502" s="44">
        <v>2657</v>
      </c>
      <c r="G502" s="52">
        <f t="shared" si="16"/>
        <v>0.82348513360933384</v>
      </c>
      <c r="H502" s="44" t="s">
        <v>40</v>
      </c>
      <c r="I502" s="44">
        <v>2024</v>
      </c>
    </row>
    <row r="503" spans="1:9" x14ac:dyDescent="0.25">
      <c r="A503" s="44" t="str">
        <f t="shared" si="15"/>
        <v>242Enero2024</v>
      </c>
      <c r="B503" s="44">
        <v>19</v>
      </c>
      <c r="C503" s="44">
        <v>242</v>
      </c>
      <c r="D503" s="51" t="s">
        <v>7</v>
      </c>
      <c r="E503" s="44">
        <v>2271</v>
      </c>
      <c r="F503" s="44">
        <v>3152</v>
      </c>
      <c r="G503" s="52">
        <f t="shared" si="16"/>
        <v>0.72049492385786806</v>
      </c>
      <c r="H503" s="44" t="s">
        <v>40</v>
      </c>
      <c r="I503" s="44">
        <v>2024</v>
      </c>
    </row>
    <row r="504" spans="1:9" x14ac:dyDescent="0.25">
      <c r="A504" s="44" t="str">
        <f t="shared" si="15"/>
        <v>240Enero2024</v>
      </c>
      <c r="B504" s="44">
        <v>20</v>
      </c>
      <c r="C504" s="44">
        <v>240</v>
      </c>
      <c r="D504" s="51" t="s">
        <v>23</v>
      </c>
      <c r="E504" s="44">
        <v>724</v>
      </c>
      <c r="F504" s="44">
        <v>1473</v>
      </c>
      <c r="G504" s="52">
        <f t="shared" si="16"/>
        <v>0.49151391717583165</v>
      </c>
      <c r="H504" s="44" t="s">
        <v>40</v>
      </c>
      <c r="I504" s="44">
        <v>2024</v>
      </c>
    </row>
    <row r="505" spans="1:9" x14ac:dyDescent="0.25">
      <c r="A505" s="44" t="str">
        <f t="shared" si="15"/>
        <v>246Enero2024</v>
      </c>
      <c r="B505" s="44">
        <v>21</v>
      </c>
      <c r="C505" s="44">
        <v>246</v>
      </c>
      <c r="D505" s="51" t="s">
        <v>9</v>
      </c>
      <c r="E505" s="44">
        <v>637</v>
      </c>
      <c r="F505" s="44">
        <v>1349</v>
      </c>
      <c r="G505" s="52">
        <f t="shared" si="16"/>
        <v>0.47220163083765754</v>
      </c>
      <c r="H505" s="44" t="s">
        <v>40</v>
      </c>
      <c r="I505" s="44">
        <v>2024</v>
      </c>
    </row>
    <row r="506" spans="1:9" x14ac:dyDescent="0.25">
      <c r="A506" s="44" t="str">
        <f t="shared" si="15"/>
        <v>235Febrero2024</v>
      </c>
      <c r="C506" s="44">
        <v>235</v>
      </c>
      <c r="D506" s="51" t="s">
        <v>33</v>
      </c>
      <c r="E506" s="44">
        <v>2627</v>
      </c>
      <c r="F506" s="44">
        <v>2629</v>
      </c>
      <c r="G506" s="52">
        <f t="shared" si="16"/>
        <v>0.99923925446938</v>
      </c>
      <c r="H506" s="44" t="s">
        <v>41</v>
      </c>
      <c r="I506" s="44">
        <v>2024</v>
      </c>
    </row>
    <row r="507" spans="1:9" x14ac:dyDescent="0.25">
      <c r="A507" s="44" t="str">
        <f t="shared" si="15"/>
        <v>246Febrero2024</v>
      </c>
      <c r="C507" s="44">
        <v>246</v>
      </c>
      <c r="D507" s="51" t="s">
        <v>9</v>
      </c>
      <c r="E507" s="44">
        <v>3006</v>
      </c>
      <c r="F507" s="44">
        <v>3012</v>
      </c>
      <c r="G507" s="52">
        <f t="shared" si="16"/>
        <v>0.99800796812749004</v>
      </c>
      <c r="H507" s="44" t="s">
        <v>41</v>
      </c>
      <c r="I507" s="44">
        <v>2024</v>
      </c>
    </row>
    <row r="508" spans="1:9" x14ac:dyDescent="0.25">
      <c r="A508" s="44" t="str">
        <f t="shared" si="15"/>
        <v>1557Febrero2024</v>
      </c>
      <c r="C508" s="44">
        <v>1557</v>
      </c>
      <c r="D508" s="51" t="s">
        <v>12</v>
      </c>
      <c r="E508" s="44">
        <v>1743</v>
      </c>
      <c r="F508" s="44">
        <v>1761</v>
      </c>
      <c r="G508" s="52">
        <f t="shared" si="16"/>
        <v>0.989778534923339</v>
      </c>
      <c r="H508" s="44" t="s">
        <v>41</v>
      </c>
      <c r="I508" s="44">
        <v>2024</v>
      </c>
    </row>
    <row r="509" spans="1:9" x14ac:dyDescent="0.25">
      <c r="A509" s="44" t="str">
        <f t="shared" si="15"/>
        <v>233Febrero2024</v>
      </c>
      <c r="C509" s="44">
        <v>233</v>
      </c>
      <c r="D509" s="51" t="s">
        <v>27</v>
      </c>
      <c r="E509" s="44">
        <v>7984</v>
      </c>
      <c r="F509" s="44">
        <v>8163</v>
      </c>
      <c r="G509" s="52">
        <f t="shared" si="16"/>
        <v>0.9780717873330883</v>
      </c>
      <c r="H509" s="44" t="s">
        <v>41</v>
      </c>
      <c r="I509" s="44">
        <v>2024</v>
      </c>
    </row>
    <row r="510" spans="1:9" x14ac:dyDescent="0.25">
      <c r="A510" s="44" t="str">
        <f t="shared" si="15"/>
        <v>11882Febrero2024</v>
      </c>
      <c r="C510" s="44">
        <v>11882</v>
      </c>
      <c r="D510" s="51" t="s">
        <v>22</v>
      </c>
      <c r="E510" s="44">
        <v>749</v>
      </c>
      <c r="F510" s="44">
        <v>792</v>
      </c>
      <c r="G510" s="52">
        <f t="shared" si="16"/>
        <v>0.94570707070707072</v>
      </c>
      <c r="H510" s="44" t="s">
        <v>41</v>
      </c>
      <c r="I510" s="44">
        <v>2024</v>
      </c>
    </row>
    <row r="511" spans="1:9" x14ac:dyDescent="0.25">
      <c r="A511" s="44" t="str">
        <f t="shared" si="15"/>
        <v>234Febrero2024</v>
      </c>
      <c r="C511" s="44">
        <v>234</v>
      </c>
      <c r="D511" s="51" t="s">
        <v>18</v>
      </c>
      <c r="E511" s="44">
        <v>3708</v>
      </c>
      <c r="F511" s="44">
        <v>3921</v>
      </c>
      <c r="G511" s="52">
        <f t="shared" si="16"/>
        <v>0.94567712318286157</v>
      </c>
      <c r="H511" s="44" t="s">
        <v>41</v>
      </c>
      <c r="I511" s="44">
        <v>2024</v>
      </c>
    </row>
    <row r="512" spans="1:9" x14ac:dyDescent="0.25">
      <c r="A512" s="44" t="str">
        <f t="shared" si="15"/>
        <v>242Febrero2024</v>
      </c>
      <c r="C512" s="44">
        <v>242</v>
      </c>
      <c r="D512" s="51" t="s">
        <v>7</v>
      </c>
      <c r="E512" s="44">
        <v>3200</v>
      </c>
      <c r="F512" s="44">
        <v>3459</v>
      </c>
      <c r="G512" s="52">
        <f t="shared" si="16"/>
        <v>0.92512286788089038</v>
      </c>
      <c r="H512" s="44" t="s">
        <v>41</v>
      </c>
      <c r="I512" s="44">
        <v>2024</v>
      </c>
    </row>
    <row r="513" spans="1:9" x14ac:dyDescent="0.25">
      <c r="A513" s="44" t="str">
        <f t="shared" si="15"/>
        <v>28745Febrero2024</v>
      </c>
      <c r="C513" s="44">
        <v>28745</v>
      </c>
      <c r="D513" s="51" t="s">
        <v>6</v>
      </c>
      <c r="E513" s="44">
        <v>311</v>
      </c>
      <c r="F513" s="44">
        <v>335</v>
      </c>
      <c r="G513" s="52">
        <f t="shared" si="16"/>
        <v>0.92835820895522392</v>
      </c>
      <c r="H513" s="44" t="s">
        <v>41</v>
      </c>
      <c r="I513" s="44">
        <v>2024</v>
      </c>
    </row>
    <row r="514" spans="1:9" x14ac:dyDescent="0.25">
      <c r="A514" s="44" t="str">
        <f t="shared" ref="A514:A577" si="17">C514&amp;H514&amp;I514</f>
        <v>10904Febrero2024</v>
      </c>
      <c r="C514" s="44">
        <v>10904</v>
      </c>
      <c r="D514" s="51" t="s">
        <v>29</v>
      </c>
      <c r="E514" s="44">
        <v>990</v>
      </c>
      <c r="F514" s="44">
        <v>1098</v>
      </c>
      <c r="G514" s="52">
        <f t="shared" si="16"/>
        <v>0.90163934426229508</v>
      </c>
      <c r="H514" s="44" t="s">
        <v>41</v>
      </c>
      <c r="I514" s="44">
        <v>2024</v>
      </c>
    </row>
    <row r="515" spans="1:9" x14ac:dyDescent="0.25">
      <c r="A515" s="44" t="str">
        <f t="shared" si="17"/>
        <v>237Febrero2024</v>
      </c>
      <c r="C515" s="44">
        <v>237</v>
      </c>
      <c r="D515" s="51" t="s">
        <v>31</v>
      </c>
      <c r="E515" s="44">
        <v>4310</v>
      </c>
      <c r="F515" s="44">
        <v>4809</v>
      </c>
      <c r="G515" s="52">
        <f t="shared" si="16"/>
        <v>0.89623622374714074</v>
      </c>
      <c r="H515" s="44" t="s">
        <v>41</v>
      </c>
      <c r="I515" s="44">
        <v>2024</v>
      </c>
    </row>
    <row r="516" spans="1:9" x14ac:dyDescent="0.25">
      <c r="A516" s="44" t="str">
        <f t="shared" si="17"/>
        <v>239Febrero2024</v>
      </c>
      <c r="C516" s="44">
        <v>239</v>
      </c>
      <c r="D516" s="51" t="s">
        <v>32</v>
      </c>
      <c r="E516" s="44">
        <v>2936</v>
      </c>
      <c r="F516" s="44">
        <v>3253</v>
      </c>
      <c r="G516" s="52">
        <f t="shared" si="16"/>
        <v>0.90255149093144793</v>
      </c>
      <c r="H516" s="44" t="s">
        <v>41</v>
      </c>
      <c r="I516" s="44">
        <v>2024</v>
      </c>
    </row>
    <row r="517" spans="1:9" x14ac:dyDescent="0.25">
      <c r="A517" s="44" t="str">
        <f t="shared" si="17"/>
        <v>11931Febrero2024</v>
      </c>
      <c r="C517" s="44">
        <v>11931</v>
      </c>
      <c r="D517" s="51" t="s">
        <v>39</v>
      </c>
      <c r="E517" s="44">
        <v>1561</v>
      </c>
      <c r="F517" s="44">
        <v>1738</v>
      </c>
      <c r="G517" s="52">
        <f t="shared" si="16"/>
        <v>0.8981588032220944</v>
      </c>
      <c r="H517" s="44" t="s">
        <v>41</v>
      </c>
      <c r="I517" s="44">
        <v>2024</v>
      </c>
    </row>
    <row r="518" spans="1:9" x14ac:dyDescent="0.25">
      <c r="A518" s="44" t="str">
        <f t="shared" si="17"/>
        <v>11116Febrero2024</v>
      </c>
      <c r="C518" s="44">
        <v>11116</v>
      </c>
      <c r="D518" s="51" t="s">
        <v>28</v>
      </c>
      <c r="E518" s="44">
        <v>6323</v>
      </c>
      <c r="F518" s="44">
        <v>7081</v>
      </c>
      <c r="G518" s="52">
        <f t="shared" si="16"/>
        <v>0.89295297274396268</v>
      </c>
      <c r="H518" s="44" t="s">
        <v>41</v>
      </c>
      <c r="I518" s="44">
        <v>2024</v>
      </c>
    </row>
    <row r="519" spans="1:9" x14ac:dyDescent="0.25">
      <c r="A519" s="44" t="str">
        <f t="shared" si="17"/>
        <v>236Febrero2024</v>
      </c>
      <c r="C519" s="44">
        <v>236</v>
      </c>
      <c r="D519" s="51" t="s">
        <v>25</v>
      </c>
      <c r="E519" s="44">
        <v>1909</v>
      </c>
      <c r="F519" s="44">
        <v>2154</v>
      </c>
      <c r="G519" s="52">
        <f t="shared" si="16"/>
        <v>0.88625812441968432</v>
      </c>
      <c r="H519" s="44" t="s">
        <v>41</v>
      </c>
      <c r="I519" s="44">
        <v>2024</v>
      </c>
    </row>
    <row r="520" spans="1:9" x14ac:dyDescent="0.25">
      <c r="A520" s="44" t="str">
        <f t="shared" si="17"/>
        <v>241Febrero2024</v>
      </c>
      <c r="C520" s="44">
        <v>241</v>
      </c>
      <c r="D520" s="51" t="s">
        <v>30</v>
      </c>
      <c r="E520" s="44">
        <v>1373</v>
      </c>
      <c r="F520" s="44">
        <v>1573</v>
      </c>
      <c r="G520" s="52">
        <f t="shared" si="16"/>
        <v>0.87285441830896371</v>
      </c>
      <c r="H520" s="44" t="s">
        <v>41</v>
      </c>
      <c r="I520" s="44">
        <v>2024</v>
      </c>
    </row>
    <row r="521" spans="1:9" x14ac:dyDescent="0.25">
      <c r="A521" s="44" t="str">
        <f t="shared" si="17"/>
        <v>238Febrero2024</v>
      </c>
      <c r="C521" s="44">
        <v>238</v>
      </c>
      <c r="D521" s="51" t="s">
        <v>35</v>
      </c>
      <c r="E521" s="44">
        <v>1334</v>
      </c>
      <c r="F521" s="44">
        <v>1543</v>
      </c>
      <c r="G521" s="52">
        <f t="shared" si="16"/>
        <v>0.86454957874270899</v>
      </c>
      <c r="H521" s="44" t="s">
        <v>41</v>
      </c>
      <c r="I521" s="44">
        <v>2024</v>
      </c>
    </row>
    <row r="522" spans="1:9" x14ac:dyDescent="0.25">
      <c r="A522" s="44" t="str">
        <f t="shared" si="17"/>
        <v>243Febrero2024</v>
      </c>
      <c r="C522" s="44">
        <v>243</v>
      </c>
      <c r="D522" s="51" t="s">
        <v>34</v>
      </c>
      <c r="E522" s="44">
        <v>2730</v>
      </c>
      <c r="F522" s="44">
        <v>3200</v>
      </c>
      <c r="G522" s="52">
        <f t="shared" si="16"/>
        <v>0.85312500000000002</v>
      </c>
      <c r="H522" s="44" t="s">
        <v>41</v>
      </c>
      <c r="I522" s="44">
        <v>2024</v>
      </c>
    </row>
    <row r="523" spans="1:9" x14ac:dyDescent="0.25">
      <c r="A523" s="44" t="str">
        <f t="shared" si="17"/>
        <v>11117Febrero2024</v>
      </c>
      <c r="C523" s="44">
        <v>11117</v>
      </c>
      <c r="D523" s="51" t="s">
        <v>15</v>
      </c>
      <c r="E523" s="44">
        <v>7677</v>
      </c>
      <c r="F523" s="44">
        <v>9131</v>
      </c>
      <c r="G523" s="52">
        <f t="shared" si="16"/>
        <v>0.84076223852809107</v>
      </c>
      <c r="H523" s="44" t="s">
        <v>41</v>
      </c>
      <c r="I523" s="44">
        <v>2024</v>
      </c>
    </row>
    <row r="524" spans="1:9" x14ac:dyDescent="0.25">
      <c r="A524" s="44" t="str">
        <f t="shared" si="17"/>
        <v>10951Febrero2024</v>
      </c>
      <c r="C524" s="44">
        <v>10951</v>
      </c>
      <c r="D524" s="51" t="s">
        <v>24</v>
      </c>
      <c r="E524" s="44">
        <v>814</v>
      </c>
      <c r="F524" s="44">
        <v>1168</v>
      </c>
      <c r="G524" s="52">
        <f t="shared" si="16"/>
        <v>0.69691780821917804</v>
      </c>
      <c r="H524" s="44" t="s">
        <v>41</v>
      </c>
      <c r="I524" s="44">
        <v>2024</v>
      </c>
    </row>
    <row r="525" spans="1:9" x14ac:dyDescent="0.25">
      <c r="A525" s="44" t="str">
        <f t="shared" si="17"/>
        <v>11799Febrero2024</v>
      </c>
      <c r="C525" s="44">
        <v>11799</v>
      </c>
      <c r="D525" s="51" t="s">
        <v>21</v>
      </c>
      <c r="E525" s="44">
        <v>1473</v>
      </c>
      <c r="F525" s="44">
        <v>2520</v>
      </c>
      <c r="G525" s="52">
        <f t="shared" si="16"/>
        <v>0.58452380952380956</v>
      </c>
      <c r="H525" s="44" t="s">
        <v>41</v>
      </c>
      <c r="I525" s="44">
        <v>2024</v>
      </c>
    </row>
    <row r="526" spans="1:9" x14ac:dyDescent="0.25">
      <c r="A526" s="44" t="str">
        <f t="shared" si="17"/>
        <v>240Febrero2024</v>
      </c>
      <c r="C526" s="44">
        <v>240</v>
      </c>
      <c r="D526" s="51" t="s">
        <v>23</v>
      </c>
      <c r="E526" s="44">
        <v>590</v>
      </c>
      <c r="F526" s="44">
        <v>1257</v>
      </c>
      <c r="G526" s="52">
        <f t="shared" si="16"/>
        <v>0.46937151949085121</v>
      </c>
      <c r="H526" s="44" t="s">
        <v>41</v>
      </c>
      <c r="I526" s="44">
        <v>2024</v>
      </c>
    </row>
    <row r="527" spans="1:9" x14ac:dyDescent="0.25">
      <c r="A527" s="44" t="str">
        <f t="shared" si="17"/>
        <v>11799Marzo2024</v>
      </c>
      <c r="C527" s="44">
        <v>11799</v>
      </c>
      <c r="D527" s="51" t="s">
        <v>21</v>
      </c>
      <c r="E527" s="44">
        <v>2006</v>
      </c>
      <c r="F527" s="44">
        <v>2014</v>
      </c>
      <c r="G527" s="52">
        <f t="shared" si="16"/>
        <v>0.99602780536246271</v>
      </c>
      <c r="H527" s="44" t="s">
        <v>42</v>
      </c>
      <c r="I527" s="44">
        <v>2024</v>
      </c>
    </row>
    <row r="528" spans="1:9" x14ac:dyDescent="0.25">
      <c r="A528" s="44" t="str">
        <f t="shared" si="17"/>
        <v>235Marzo2024</v>
      </c>
      <c r="C528" s="44">
        <v>235</v>
      </c>
      <c r="D528" s="51" t="s">
        <v>33</v>
      </c>
      <c r="E528" s="44">
        <v>2952</v>
      </c>
      <c r="F528" s="44">
        <v>2957</v>
      </c>
      <c r="G528" s="52">
        <f t="shared" si="16"/>
        <v>0.99830909705782889</v>
      </c>
      <c r="H528" s="44" t="s">
        <v>42</v>
      </c>
      <c r="I528" s="44">
        <v>2024</v>
      </c>
    </row>
    <row r="529" spans="1:9" x14ac:dyDescent="0.25">
      <c r="A529" s="44" t="str">
        <f t="shared" si="17"/>
        <v>246Marzo2024</v>
      </c>
      <c r="C529" s="44">
        <v>246</v>
      </c>
      <c r="D529" s="51" t="s">
        <v>9</v>
      </c>
      <c r="E529" s="44">
        <v>3028</v>
      </c>
      <c r="F529" s="44">
        <v>3035</v>
      </c>
      <c r="G529" s="52">
        <f t="shared" si="16"/>
        <v>0.99769357495881383</v>
      </c>
      <c r="H529" s="44" t="s">
        <v>42</v>
      </c>
      <c r="I529" s="44">
        <v>2024</v>
      </c>
    </row>
    <row r="530" spans="1:9" x14ac:dyDescent="0.25">
      <c r="A530" s="44" t="str">
        <f t="shared" si="17"/>
        <v>11882Marzo2024</v>
      </c>
      <c r="C530" s="44">
        <v>11882</v>
      </c>
      <c r="D530" s="51" t="s">
        <v>22</v>
      </c>
      <c r="E530" s="44">
        <v>1323</v>
      </c>
      <c r="F530" s="44">
        <v>1338</v>
      </c>
      <c r="G530" s="52">
        <f t="shared" si="16"/>
        <v>0.9887892376681614</v>
      </c>
      <c r="H530" s="44" t="s">
        <v>42</v>
      </c>
      <c r="I530" s="44">
        <v>2024</v>
      </c>
    </row>
    <row r="531" spans="1:9" x14ac:dyDescent="0.25">
      <c r="A531" s="44" t="str">
        <f t="shared" si="17"/>
        <v>1557Marzo2024</v>
      </c>
      <c r="C531" s="44">
        <v>1557</v>
      </c>
      <c r="D531" s="51" t="s">
        <v>12</v>
      </c>
      <c r="E531" s="44">
        <v>1759</v>
      </c>
      <c r="F531" s="44">
        <v>1780</v>
      </c>
      <c r="G531" s="52">
        <f t="shared" si="16"/>
        <v>0.98820224719101124</v>
      </c>
      <c r="H531" s="44" t="s">
        <v>42</v>
      </c>
      <c r="I531" s="44">
        <v>2024</v>
      </c>
    </row>
    <row r="532" spans="1:9" x14ac:dyDescent="0.25">
      <c r="A532" s="44" t="str">
        <f t="shared" si="17"/>
        <v>236Marzo2024</v>
      </c>
      <c r="C532" s="44">
        <v>236</v>
      </c>
      <c r="D532" s="51" t="s">
        <v>25</v>
      </c>
      <c r="E532" s="44">
        <v>3202</v>
      </c>
      <c r="F532" s="44">
        <v>3239</v>
      </c>
      <c r="G532" s="52">
        <f t="shared" si="16"/>
        <v>0.98857672121025009</v>
      </c>
      <c r="H532" s="44" t="s">
        <v>42</v>
      </c>
      <c r="I532" s="44">
        <v>2024</v>
      </c>
    </row>
    <row r="533" spans="1:9" x14ac:dyDescent="0.25">
      <c r="A533" s="44" t="str">
        <f t="shared" si="17"/>
        <v>11117Marzo2024</v>
      </c>
      <c r="C533" s="44">
        <v>11117</v>
      </c>
      <c r="D533" s="51" t="s">
        <v>15</v>
      </c>
      <c r="E533" s="44">
        <v>7737</v>
      </c>
      <c r="F533" s="44">
        <v>8021</v>
      </c>
      <c r="G533" s="52">
        <f t="shared" si="16"/>
        <v>0.96459294352325142</v>
      </c>
      <c r="H533" s="44" t="s">
        <v>42</v>
      </c>
      <c r="I533" s="44">
        <v>2024</v>
      </c>
    </row>
    <row r="534" spans="1:9" x14ac:dyDescent="0.25">
      <c r="A534" s="44" t="str">
        <f t="shared" si="17"/>
        <v>233Marzo2024</v>
      </c>
      <c r="C534" s="44">
        <v>233</v>
      </c>
      <c r="D534" s="51" t="s">
        <v>27</v>
      </c>
      <c r="E534" s="44">
        <v>8003</v>
      </c>
      <c r="F534" s="44">
        <v>8363</v>
      </c>
      <c r="G534" s="52">
        <f t="shared" si="16"/>
        <v>0.95695324644266411</v>
      </c>
      <c r="H534" s="44" t="s">
        <v>42</v>
      </c>
      <c r="I534" s="44">
        <v>2024</v>
      </c>
    </row>
    <row r="535" spans="1:9" x14ac:dyDescent="0.25">
      <c r="A535" s="44" t="str">
        <f t="shared" si="17"/>
        <v>242Marzo2024</v>
      </c>
      <c r="C535" s="44">
        <v>242</v>
      </c>
      <c r="D535" s="51" t="s">
        <v>7</v>
      </c>
      <c r="E535" s="44">
        <v>2993</v>
      </c>
      <c r="F535" s="44">
        <v>3119</v>
      </c>
      <c r="G535" s="52">
        <f t="shared" si="16"/>
        <v>0.9596024366784226</v>
      </c>
      <c r="H535" s="44" t="s">
        <v>42</v>
      </c>
      <c r="I535" s="44">
        <v>2024</v>
      </c>
    </row>
    <row r="536" spans="1:9" x14ac:dyDescent="0.25">
      <c r="A536" s="44" t="str">
        <f t="shared" si="17"/>
        <v>234Marzo2024</v>
      </c>
      <c r="C536" s="44">
        <v>234</v>
      </c>
      <c r="D536" s="51" t="s">
        <v>18</v>
      </c>
      <c r="E536" s="44">
        <v>3518</v>
      </c>
      <c r="F536" s="44">
        <v>3759</v>
      </c>
      <c r="G536" s="52">
        <f t="shared" si="16"/>
        <v>0.93588720404362857</v>
      </c>
      <c r="H536" s="44" t="s">
        <v>42</v>
      </c>
      <c r="I536" s="44">
        <v>2024</v>
      </c>
    </row>
    <row r="537" spans="1:9" x14ac:dyDescent="0.25">
      <c r="A537" s="44" t="str">
        <f t="shared" si="17"/>
        <v>28745Marzo2024</v>
      </c>
      <c r="C537" s="44">
        <v>28745</v>
      </c>
      <c r="D537" s="51" t="s">
        <v>6</v>
      </c>
      <c r="E537" s="44">
        <v>320</v>
      </c>
      <c r="F537" s="44">
        <v>345</v>
      </c>
      <c r="G537" s="52">
        <f t="shared" si="16"/>
        <v>0.92753623188405798</v>
      </c>
      <c r="H537" s="44" t="s">
        <v>42</v>
      </c>
      <c r="I537" s="44">
        <v>2024</v>
      </c>
    </row>
    <row r="538" spans="1:9" x14ac:dyDescent="0.25">
      <c r="A538" s="44" t="str">
        <f t="shared" si="17"/>
        <v>10904Marzo2024</v>
      </c>
      <c r="C538" s="44">
        <v>10904</v>
      </c>
      <c r="D538" s="51" t="s">
        <v>29</v>
      </c>
      <c r="E538" s="44">
        <v>1840</v>
      </c>
      <c r="F538" s="44">
        <v>2005</v>
      </c>
      <c r="G538" s="52">
        <f t="shared" si="16"/>
        <v>0.9177057356608479</v>
      </c>
      <c r="H538" s="44" t="s">
        <v>42</v>
      </c>
      <c r="I538" s="44">
        <v>2024</v>
      </c>
    </row>
    <row r="539" spans="1:9" x14ac:dyDescent="0.25">
      <c r="A539" s="44" t="str">
        <f t="shared" si="17"/>
        <v>238Marzo2024</v>
      </c>
      <c r="C539" s="44">
        <v>238</v>
      </c>
      <c r="D539" s="51" t="s">
        <v>35</v>
      </c>
      <c r="E539" s="44">
        <v>1833</v>
      </c>
      <c r="F539" s="44">
        <v>1991</v>
      </c>
      <c r="G539" s="52">
        <f t="shared" si="16"/>
        <v>0.9206428930185836</v>
      </c>
      <c r="H539" s="44" t="s">
        <v>42</v>
      </c>
      <c r="I539" s="44">
        <v>2024</v>
      </c>
    </row>
    <row r="540" spans="1:9" x14ac:dyDescent="0.25">
      <c r="A540" s="44" t="str">
        <f t="shared" si="17"/>
        <v>239Marzo2024</v>
      </c>
      <c r="C540" s="44">
        <v>239</v>
      </c>
      <c r="D540" s="51" t="s">
        <v>32</v>
      </c>
      <c r="E540" s="44">
        <v>2990</v>
      </c>
      <c r="F540" s="44">
        <v>3234</v>
      </c>
      <c r="G540" s="52">
        <f t="shared" si="16"/>
        <v>0.92455163883735314</v>
      </c>
      <c r="H540" s="44" t="s">
        <v>42</v>
      </c>
      <c r="I540" s="44">
        <v>2024</v>
      </c>
    </row>
    <row r="541" spans="1:9" x14ac:dyDescent="0.25">
      <c r="A541" s="44" t="str">
        <f t="shared" si="17"/>
        <v>11116Marzo2024</v>
      </c>
      <c r="C541" s="44">
        <v>11116</v>
      </c>
      <c r="D541" s="51" t="s">
        <v>28</v>
      </c>
      <c r="E541" s="44">
        <v>6768</v>
      </c>
      <c r="F541" s="44">
        <v>7651</v>
      </c>
      <c r="G541" s="52">
        <f t="shared" si="16"/>
        <v>0.88459024964056987</v>
      </c>
      <c r="H541" s="44" t="s">
        <v>42</v>
      </c>
      <c r="I541" s="44">
        <v>2024</v>
      </c>
    </row>
    <row r="542" spans="1:9" x14ac:dyDescent="0.25">
      <c r="A542" s="44" t="str">
        <f t="shared" si="17"/>
        <v>243Marzo2024</v>
      </c>
      <c r="C542" s="44">
        <v>243</v>
      </c>
      <c r="D542" s="51" t="s">
        <v>34</v>
      </c>
      <c r="E542" s="44">
        <v>2748</v>
      </c>
      <c r="F542" s="44">
        <v>3139</v>
      </c>
      <c r="G542" s="52">
        <f t="shared" si="16"/>
        <v>0.87543803759158967</v>
      </c>
      <c r="H542" s="44" t="s">
        <v>42</v>
      </c>
      <c r="I542" s="44">
        <v>2024</v>
      </c>
    </row>
    <row r="543" spans="1:9" x14ac:dyDescent="0.25">
      <c r="A543" s="44" t="str">
        <f t="shared" si="17"/>
        <v>241Marzo2024</v>
      </c>
      <c r="C543" s="44">
        <v>241</v>
      </c>
      <c r="D543" s="51" t="s">
        <v>30</v>
      </c>
      <c r="E543" s="44">
        <v>2327</v>
      </c>
      <c r="F543" s="44">
        <v>2710</v>
      </c>
      <c r="G543" s="52">
        <f t="shared" si="16"/>
        <v>0.85867158671586719</v>
      </c>
      <c r="H543" s="44" t="s">
        <v>42</v>
      </c>
      <c r="I543" s="44">
        <v>2024</v>
      </c>
    </row>
    <row r="544" spans="1:9" x14ac:dyDescent="0.25">
      <c r="A544" s="44" t="str">
        <f t="shared" si="17"/>
        <v>11931Marzo2024</v>
      </c>
      <c r="C544" s="44">
        <v>11931</v>
      </c>
      <c r="D544" s="51" t="s">
        <v>39</v>
      </c>
      <c r="E544" s="44">
        <v>1683</v>
      </c>
      <c r="F544" s="44">
        <v>1990</v>
      </c>
      <c r="G544" s="52">
        <f t="shared" si="16"/>
        <v>0.84572864321608043</v>
      </c>
      <c r="H544" s="44" t="s">
        <v>42</v>
      </c>
      <c r="I544" s="44">
        <v>2024</v>
      </c>
    </row>
    <row r="545" spans="1:9" x14ac:dyDescent="0.25">
      <c r="A545" s="44" t="str">
        <f t="shared" si="17"/>
        <v>10951Marzo2024</v>
      </c>
      <c r="C545" s="44">
        <v>10951</v>
      </c>
      <c r="D545" s="51" t="s">
        <v>24</v>
      </c>
      <c r="E545" s="44">
        <v>1098</v>
      </c>
      <c r="F545" s="44">
        <v>1412</v>
      </c>
      <c r="G545" s="52">
        <f t="shared" si="16"/>
        <v>0.77762039660056659</v>
      </c>
      <c r="H545" s="44" t="s">
        <v>42</v>
      </c>
      <c r="I545" s="44">
        <v>2024</v>
      </c>
    </row>
    <row r="546" spans="1:9" x14ac:dyDescent="0.25">
      <c r="A546" s="44" t="str">
        <f t="shared" si="17"/>
        <v>240Marzo2024</v>
      </c>
      <c r="C546" s="44">
        <v>240</v>
      </c>
      <c r="D546" s="51" t="s">
        <v>23</v>
      </c>
      <c r="E546" s="44">
        <v>1628</v>
      </c>
      <c r="F546" s="44">
        <v>2467</v>
      </c>
      <c r="G546" s="52">
        <f t="shared" si="16"/>
        <v>0.65991082286177538</v>
      </c>
      <c r="H546" s="44" t="s">
        <v>42</v>
      </c>
      <c r="I546" s="44">
        <v>2024</v>
      </c>
    </row>
    <row r="547" spans="1:9" x14ac:dyDescent="0.25">
      <c r="A547" s="44" t="str">
        <f t="shared" si="17"/>
        <v>237Marzo2024</v>
      </c>
      <c r="C547" s="44">
        <v>237</v>
      </c>
      <c r="D547" s="51" t="s">
        <v>31</v>
      </c>
      <c r="E547" s="44">
        <v>2874</v>
      </c>
      <c r="F547" s="44">
        <v>4456</v>
      </c>
      <c r="G547" s="52">
        <f t="shared" si="16"/>
        <v>0.64497307001795334</v>
      </c>
      <c r="H547" s="44" t="s">
        <v>42</v>
      </c>
      <c r="I547" s="44">
        <v>2024</v>
      </c>
    </row>
    <row r="548" spans="1:9" ht="13.8" x14ac:dyDescent="0.25">
      <c r="A548" s="44" t="str">
        <f t="shared" si="17"/>
        <v>11799Enero2025</v>
      </c>
      <c r="B548" s="64">
        <v>1</v>
      </c>
      <c r="C548" s="64">
        <v>11799</v>
      </c>
      <c r="D548" s="65" t="s">
        <v>21</v>
      </c>
      <c r="E548" s="64">
        <v>1803</v>
      </c>
      <c r="F548" s="64">
        <v>1823</v>
      </c>
      <c r="G548" s="52">
        <f t="shared" si="16"/>
        <v>0.98902907295666487</v>
      </c>
      <c r="H548" s="44" t="s">
        <v>40</v>
      </c>
      <c r="I548" s="44">
        <v>2025</v>
      </c>
    </row>
    <row r="549" spans="1:9" ht="13.8" x14ac:dyDescent="0.25">
      <c r="A549" s="44" t="str">
        <f t="shared" si="17"/>
        <v>246Enero2025</v>
      </c>
      <c r="B549" s="64">
        <v>2</v>
      </c>
      <c r="C549" s="64">
        <v>246</v>
      </c>
      <c r="D549" s="65" t="s">
        <v>9</v>
      </c>
      <c r="E549" s="64">
        <v>2687</v>
      </c>
      <c r="F549" s="64">
        <v>2705</v>
      </c>
      <c r="G549" s="52">
        <f t="shared" si="16"/>
        <v>0.99334565619223658</v>
      </c>
      <c r="H549" s="44" t="s">
        <v>40</v>
      </c>
      <c r="I549" s="44">
        <v>2025</v>
      </c>
    </row>
    <row r="550" spans="1:9" ht="13.8" x14ac:dyDescent="0.25">
      <c r="A550" s="44" t="str">
        <f t="shared" si="17"/>
        <v>12165Enero2025</v>
      </c>
      <c r="B550" s="64">
        <v>3</v>
      </c>
      <c r="C550" s="64">
        <v>12165</v>
      </c>
      <c r="D550" s="65" t="s">
        <v>66</v>
      </c>
      <c r="E550" s="64">
        <v>336</v>
      </c>
      <c r="F550" s="64">
        <v>343</v>
      </c>
      <c r="G550" s="52">
        <f t="shared" ref="G550:G613" si="18">E550/F550</f>
        <v>0.97959183673469385</v>
      </c>
      <c r="H550" s="44" t="s">
        <v>40</v>
      </c>
      <c r="I550" s="44">
        <v>2025</v>
      </c>
    </row>
    <row r="551" spans="1:9" ht="13.8" x14ac:dyDescent="0.25">
      <c r="A551" s="44" t="str">
        <f t="shared" si="17"/>
        <v>11117Enero2025</v>
      </c>
      <c r="B551" s="64">
        <v>4</v>
      </c>
      <c r="C551" s="64">
        <v>11117</v>
      </c>
      <c r="D551" s="65" t="s">
        <v>15</v>
      </c>
      <c r="E551" s="64">
        <v>6159</v>
      </c>
      <c r="F551" s="64">
        <v>6507</v>
      </c>
      <c r="G551" s="52">
        <f t="shared" si="18"/>
        <v>0.94651913324112491</v>
      </c>
      <c r="H551" s="44" t="s">
        <v>40</v>
      </c>
      <c r="I551" s="44">
        <v>2025</v>
      </c>
    </row>
    <row r="552" spans="1:9" ht="13.8" x14ac:dyDescent="0.25">
      <c r="A552" s="44" t="str">
        <f t="shared" si="17"/>
        <v>10904Enero2025</v>
      </c>
      <c r="B552" s="64">
        <v>5</v>
      </c>
      <c r="C552" s="64">
        <v>10904</v>
      </c>
      <c r="D552" s="65" t="s">
        <v>29</v>
      </c>
      <c r="E552" s="64">
        <v>1137</v>
      </c>
      <c r="F552" s="64">
        <v>1210</v>
      </c>
      <c r="G552" s="52">
        <f t="shared" si="18"/>
        <v>0.93966942148760335</v>
      </c>
      <c r="H552" s="44" t="s">
        <v>40</v>
      </c>
      <c r="I552" s="44">
        <v>2025</v>
      </c>
    </row>
    <row r="553" spans="1:9" ht="13.8" x14ac:dyDescent="0.25">
      <c r="A553" s="44" t="str">
        <f t="shared" si="17"/>
        <v>241Enero2025</v>
      </c>
      <c r="B553" s="64">
        <v>6</v>
      </c>
      <c r="C553" s="64">
        <v>241</v>
      </c>
      <c r="D553" s="65" t="s">
        <v>30</v>
      </c>
      <c r="E553" s="64">
        <v>1565</v>
      </c>
      <c r="F553" s="64">
        <v>1660</v>
      </c>
      <c r="G553" s="52">
        <f t="shared" si="18"/>
        <v>0.94277108433734935</v>
      </c>
      <c r="H553" s="44" t="s">
        <v>40</v>
      </c>
      <c r="I553" s="44">
        <v>2025</v>
      </c>
    </row>
    <row r="554" spans="1:9" ht="13.8" x14ac:dyDescent="0.25">
      <c r="A554" s="44" t="str">
        <f t="shared" si="17"/>
        <v>11882Enero2025</v>
      </c>
      <c r="B554" s="64">
        <v>7</v>
      </c>
      <c r="C554" s="64">
        <v>11882</v>
      </c>
      <c r="D554" s="65" t="s">
        <v>22</v>
      </c>
      <c r="E554" s="64">
        <v>789</v>
      </c>
      <c r="F554" s="64">
        <v>846</v>
      </c>
      <c r="G554" s="52">
        <f t="shared" si="18"/>
        <v>0.93262411347517726</v>
      </c>
      <c r="H554" s="44" t="s">
        <v>40</v>
      </c>
      <c r="I554" s="44">
        <v>2025</v>
      </c>
    </row>
    <row r="555" spans="1:9" ht="13.8" x14ac:dyDescent="0.25">
      <c r="A555" s="44" t="str">
        <f t="shared" si="17"/>
        <v>240Enero2025</v>
      </c>
      <c r="B555" s="64">
        <v>8</v>
      </c>
      <c r="C555" s="64">
        <v>240</v>
      </c>
      <c r="D555" s="65" t="s">
        <v>23</v>
      </c>
      <c r="E555" s="64">
        <v>2642</v>
      </c>
      <c r="F555" s="64">
        <v>2854</v>
      </c>
      <c r="G555" s="52">
        <f t="shared" si="18"/>
        <v>0.92571829011913109</v>
      </c>
      <c r="H555" s="44" t="s">
        <v>40</v>
      </c>
      <c r="I555" s="44">
        <v>2025</v>
      </c>
    </row>
    <row r="556" spans="1:9" ht="13.8" x14ac:dyDescent="0.25">
      <c r="A556" s="44" t="str">
        <f t="shared" si="17"/>
        <v>234Enero2025</v>
      </c>
      <c r="B556" s="64">
        <v>9</v>
      </c>
      <c r="C556" s="64">
        <v>234</v>
      </c>
      <c r="D556" s="65" t="s">
        <v>18</v>
      </c>
      <c r="E556" s="64">
        <v>3430</v>
      </c>
      <c r="F556" s="64">
        <v>3720</v>
      </c>
      <c r="G556" s="52">
        <f t="shared" si="18"/>
        <v>0.92204301075268813</v>
      </c>
      <c r="H556" s="44" t="s">
        <v>40</v>
      </c>
      <c r="I556" s="44">
        <v>2025</v>
      </c>
    </row>
    <row r="557" spans="1:9" ht="13.8" x14ac:dyDescent="0.25">
      <c r="A557" s="44" t="str">
        <f t="shared" si="17"/>
        <v>11931Enero2025</v>
      </c>
      <c r="B557" s="64">
        <v>10</v>
      </c>
      <c r="C557" s="64">
        <v>11931</v>
      </c>
      <c r="D557" s="65" t="s">
        <v>39</v>
      </c>
      <c r="E557" s="64">
        <v>1899</v>
      </c>
      <c r="F557" s="64">
        <v>2065</v>
      </c>
      <c r="G557" s="52">
        <f t="shared" si="18"/>
        <v>0.91961259079903146</v>
      </c>
      <c r="H557" s="44" t="s">
        <v>40</v>
      </c>
      <c r="I557" s="44">
        <v>2025</v>
      </c>
    </row>
    <row r="558" spans="1:9" ht="13.8" x14ac:dyDescent="0.25">
      <c r="A558" s="44" t="str">
        <f t="shared" si="17"/>
        <v>10951Enero2025</v>
      </c>
      <c r="B558" s="64">
        <v>11</v>
      </c>
      <c r="C558" s="64">
        <v>10951</v>
      </c>
      <c r="D558" s="65" t="s">
        <v>24</v>
      </c>
      <c r="E558" s="64">
        <v>1763</v>
      </c>
      <c r="F558" s="64">
        <v>1950</v>
      </c>
      <c r="G558" s="52">
        <f t="shared" si="18"/>
        <v>0.90410256410256407</v>
      </c>
      <c r="H558" s="44" t="s">
        <v>40</v>
      </c>
      <c r="I558" s="44">
        <v>2025</v>
      </c>
    </row>
    <row r="559" spans="1:9" ht="13.8" x14ac:dyDescent="0.25">
      <c r="A559" s="44" t="str">
        <f t="shared" si="17"/>
        <v>1557Enero2025</v>
      </c>
      <c r="B559" s="64">
        <v>12</v>
      </c>
      <c r="C559" s="64">
        <v>1557</v>
      </c>
      <c r="D559" s="65" t="s">
        <v>12</v>
      </c>
      <c r="E559" s="64">
        <v>1256</v>
      </c>
      <c r="F559" s="64">
        <v>1405</v>
      </c>
      <c r="G559" s="52">
        <f t="shared" si="18"/>
        <v>0.89395017793594311</v>
      </c>
      <c r="H559" s="44" t="s">
        <v>40</v>
      </c>
      <c r="I559" s="44">
        <v>2025</v>
      </c>
    </row>
    <row r="560" spans="1:9" ht="13.8" x14ac:dyDescent="0.25">
      <c r="A560" s="44" t="str">
        <f t="shared" si="17"/>
        <v>235Enero2025</v>
      </c>
      <c r="B560" s="64">
        <v>13</v>
      </c>
      <c r="C560" s="64">
        <v>235</v>
      </c>
      <c r="D560" s="65" t="s">
        <v>33</v>
      </c>
      <c r="E560" s="64">
        <v>2812</v>
      </c>
      <c r="F560" s="64">
        <v>3165</v>
      </c>
      <c r="G560" s="52">
        <f t="shared" si="18"/>
        <v>0.88846761453396528</v>
      </c>
      <c r="H560" s="44" t="s">
        <v>40</v>
      </c>
      <c r="I560" s="44">
        <v>2025</v>
      </c>
    </row>
    <row r="561" spans="1:9" ht="13.8" x14ac:dyDescent="0.25">
      <c r="A561" s="44" t="str">
        <f t="shared" si="17"/>
        <v>11116Enero2025</v>
      </c>
      <c r="B561" s="64">
        <v>14</v>
      </c>
      <c r="C561" s="64">
        <v>11116</v>
      </c>
      <c r="D561" s="65" t="s">
        <v>28</v>
      </c>
      <c r="E561" s="64">
        <v>6531</v>
      </c>
      <c r="F561" s="64">
        <v>7390</v>
      </c>
      <c r="G561" s="52">
        <f t="shared" si="18"/>
        <v>0.88376184032476324</v>
      </c>
      <c r="H561" s="44" t="s">
        <v>40</v>
      </c>
      <c r="I561" s="44">
        <v>2025</v>
      </c>
    </row>
    <row r="562" spans="1:9" ht="13.8" x14ac:dyDescent="0.25">
      <c r="A562" s="44" t="str">
        <f t="shared" si="17"/>
        <v>236Enero2025</v>
      </c>
      <c r="B562" s="64">
        <v>15</v>
      </c>
      <c r="C562" s="64">
        <v>236</v>
      </c>
      <c r="D562" s="65" t="s">
        <v>25</v>
      </c>
      <c r="E562" s="64">
        <v>3236</v>
      </c>
      <c r="F562" s="64">
        <v>3691</v>
      </c>
      <c r="G562" s="52">
        <f t="shared" si="18"/>
        <v>0.87672717420753188</v>
      </c>
      <c r="H562" s="44" t="s">
        <v>40</v>
      </c>
      <c r="I562" s="44">
        <v>2025</v>
      </c>
    </row>
    <row r="563" spans="1:9" ht="13.8" x14ac:dyDescent="0.25">
      <c r="A563" s="44" t="str">
        <f t="shared" si="17"/>
        <v>238Enero2025</v>
      </c>
      <c r="B563" s="64">
        <v>16</v>
      </c>
      <c r="C563" s="64">
        <v>238</v>
      </c>
      <c r="D563" s="65" t="s">
        <v>35</v>
      </c>
      <c r="E563" s="64">
        <v>1787</v>
      </c>
      <c r="F563" s="64">
        <v>2110</v>
      </c>
      <c r="G563" s="52">
        <f t="shared" si="18"/>
        <v>0.84691943127962088</v>
      </c>
      <c r="H563" s="44" t="s">
        <v>40</v>
      </c>
      <c r="I563" s="44">
        <v>2025</v>
      </c>
    </row>
    <row r="564" spans="1:9" ht="13.8" x14ac:dyDescent="0.25">
      <c r="A564" s="44" t="str">
        <f t="shared" si="17"/>
        <v>12166Enero2025</v>
      </c>
      <c r="B564" s="64">
        <v>17</v>
      </c>
      <c r="C564" s="64">
        <v>12166</v>
      </c>
      <c r="D564" s="65" t="s">
        <v>65</v>
      </c>
      <c r="E564" s="64">
        <v>1285</v>
      </c>
      <c r="F564" s="64">
        <v>1572</v>
      </c>
      <c r="G564" s="52">
        <f t="shared" si="18"/>
        <v>0.81743002544529264</v>
      </c>
      <c r="H564" s="44" t="s">
        <v>40</v>
      </c>
      <c r="I564" s="44">
        <v>2025</v>
      </c>
    </row>
    <row r="565" spans="1:9" ht="13.8" x14ac:dyDescent="0.25">
      <c r="A565" s="44" t="str">
        <f t="shared" si="17"/>
        <v>242Enero2025</v>
      </c>
      <c r="B565" s="64">
        <v>18</v>
      </c>
      <c r="C565" s="64">
        <v>242</v>
      </c>
      <c r="D565" s="65" t="s">
        <v>7</v>
      </c>
      <c r="E565" s="64">
        <v>1022</v>
      </c>
      <c r="F565" s="64">
        <v>1344</v>
      </c>
      <c r="G565" s="52">
        <f t="shared" si="18"/>
        <v>0.76041666666666663</v>
      </c>
      <c r="H565" s="44" t="s">
        <v>40</v>
      </c>
      <c r="I565" s="44">
        <v>2025</v>
      </c>
    </row>
    <row r="566" spans="1:9" ht="13.8" x14ac:dyDescent="0.25">
      <c r="A566" s="44" t="str">
        <f t="shared" si="17"/>
        <v>239Enero2025</v>
      </c>
      <c r="B566" s="64">
        <v>19</v>
      </c>
      <c r="C566" s="64">
        <v>239</v>
      </c>
      <c r="D566" s="65" t="s">
        <v>32</v>
      </c>
      <c r="E566" s="64">
        <v>2425</v>
      </c>
      <c r="F566" s="64">
        <v>3390</v>
      </c>
      <c r="G566" s="52">
        <f t="shared" si="18"/>
        <v>0.71533923303834812</v>
      </c>
      <c r="H566" s="44" t="s">
        <v>40</v>
      </c>
      <c r="I566" s="44">
        <v>2025</v>
      </c>
    </row>
    <row r="567" spans="1:9" ht="13.8" x14ac:dyDescent="0.25">
      <c r="A567" s="44" t="str">
        <f t="shared" si="17"/>
        <v>28745Enero2025</v>
      </c>
      <c r="B567" s="64">
        <v>20</v>
      </c>
      <c r="C567" s="64">
        <v>28745</v>
      </c>
      <c r="D567" s="65" t="s">
        <v>6</v>
      </c>
      <c r="E567" s="64">
        <v>306</v>
      </c>
      <c r="F567" s="64">
        <v>464</v>
      </c>
      <c r="G567" s="52">
        <f t="shared" si="18"/>
        <v>0.65948275862068961</v>
      </c>
      <c r="H567" s="44" t="s">
        <v>40</v>
      </c>
      <c r="I567" s="44">
        <v>2025</v>
      </c>
    </row>
    <row r="568" spans="1:9" ht="13.8" x14ac:dyDescent="0.25">
      <c r="A568" s="44" t="str">
        <f t="shared" si="17"/>
        <v>243Enero2025</v>
      </c>
      <c r="B568" s="64">
        <v>21</v>
      </c>
      <c r="C568" s="64">
        <v>243</v>
      </c>
      <c r="D568" s="65" t="s">
        <v>34</v>
      </c>
      <c r="E568" s="64">
        <v>1793</v>
      </c>
      <c r="F568" s="64">
        <v>2950</v>
      </c>
      <c r="G568" s="52">
        <f t="shared" si="18"/>
        <v>0.60779661016949149</v>
      </c>
      <c r="H568" s="44" t="s">
        <v>40</v>
      </c>
      <c r="I568" s="44">
        <v>2025</v>
      </c>
    </row>
    <row r="569" spans="1:9" ht="13.8" x14ac:dyDescent="0.25">
      <c r="A569" s="44" t="str">
        <f t="shared" si="17"/>
        <v>237Enero2025</v>
      </c>
      <c r="B569" s="64">
        <v>22</v>
      </c>
      <c r="C569" s="64">
        <v>237</v>
      </c>
      <c r="D569" s="65" t="s">
        <v>31</v>
      </c>
      <c r="E569" s="64">
        <v>2503</v>
      </c>
      <c r="F569" s="64">
        <v>5097</v>
      </c>
      <c r="G569" s="52">
        <f t="shared" si="18"/>
        <v>0.49107318030213853</v>
      </c>
      <c r="H569" s="44" t="s">
        <v>40</v>
      </c>
      <c r="I569" s="44">
        <v>2025</v>
      </c>
    </row>
    <row r="570" spans="1:9" ht="13.8" x14ac:dyDescent="0.25">
      <c r="A570" s="44" t="str">
        <f t="shared" si="17"/>
        <v>12163Enero2025</v>
      </c>
      <c r="B570" s="64">
        <v>23</v>
      </c>
      <c r="C570" s="64">
        <v>12163</v>
      </c>
      <c r="D570" s="65" t="s">
        <v>67</v>
      </c>
      <c r="E570" s="64">
        <v>507</v>
      </c>
      <c r="F570" s="64">
        <v>1092</v>
      </c>
      <c r="G570" s="52">
        <f t="shared" si="18"/>
        <v>0.4642857142857143</v>
      </c>
      <c r="H570" s="44" t="s">
        <v>40</v>
      </c>
      <c r="I570" s="44">
        <v>2025</v>
      </c>
    </row>
    <row r="571" spans="1:9" x14ac:dyDescent="0.25">
      <c r="A571" s="44" t="str">
        <f t="shared" si="17"/>
        <v>11882Febrero2025</v>
      </c>
      <c r="B571" s="44">
        <v>1</v>
      </c>
      <c r="C571" s="44">
        <v>11882</v>
      </c>
      <c r="D571" s="51" t="s">
        <v>22</v>
      </c>
      <c r="E571" s="44">
        <v>707</v>
      </c>
      <c r="F571" s="44">
        <v>711</v>
      </c>
      <c r="G571" s="52">
        <f t="shared" si="18"/>
        <v>0.99437412095639943</v>
      </c>
      <c r="H571" s="44" t="s">
        <v>41</v>
      </c>
      <c r="I571" s="44">
        <v>2025</v>
      </c>
    </row>
    <row r="572" spans="1:9" x14ac:dyDescent="0.25">
      <c r="A572" s="44" t="str">
        <f t="shared" si="17"/>
        <v>246Febrero2025</v>
      </c>
      <c r="B572" s="44">
        <v>2</v>
      </c>
      <c r="C572" s="44">
        <v>246</v>
      </c>
      <c r="D572" s="51" t="s">
        <v>9</v>
      </c>
      <c r="E572" s="44">
        <v>1770</v>
      </c>
      <c r="F572" s="44">
        <v>1797</v>
      </c>
      <c r="G572" s="52">
        <f t="shared" si="18"/>
        <v>0.9849749582637729</v>
      </c>
      <c r="H572" s="44" t="s">
        <v>41</v>
      </c>
      <c r="I572" s="44">
        <v>2025</v>
      </c>
    </row>
    <row r="573" spans="1:9" x14ac:dyDescent="0.25">
      <c r="A573" s="44" t="str">
        <f t="shared" si="17"/>
        <v>11117Febrero2025</v>
      </c>
      <c r="B573" s="44">
        <v>3</v>
      </c>
      <c r="C573" s="44">
        <v>11117</v>
      </c>
      <c r="D573" s="51" t="s">
        <v>15</v>
      </c>
      <c r="E573" s="44">
        <v>5856</v>
      </c>
      <c r="F573" s="44">
        <v>6032</v>
      </c>
      <c r="G573" s="52">
        <f t="shared" si="18"/>
        <v>0.97082228116710878</v>
      </c>
      <c r="H573" s="44" t="s">
        <v>41</v>
      </c>
      <c r="I573" s="44">
        <v>2025</v>
      </c>
    </row>
    <row r="574" spans="1:9" x14ac:dyDescent="0.25">
      <c r="A574" s="44" t="str">
        <f t="shared" si="17"/>
        <v>11799Febrero2025</v>
      </c>
      <c r="B574" s="44">
        <v>4</v>
      </c>
      <c r="C574" s="44">
        <v>11799</v>
      </c>
      <c r="D574" s="51" t="s">
        <v>21</v>
      </c>
      <c r="E574" s="44">
        <v>1682</v>
      </c>
      <c r="F574" s="44">
        <v>1747</v>
      </c>
      <c r="G574" s="52">
        <f t="shared" si="18"/>
        <v>0.96279336004579275</v>
      </c>
      <c r="H574" s="44" t="s">
        <v>41</v>
      </c>
      <c r="I574" s="44">
        <v>2025</v>
      </c>
    </row>
    <row r="575" spans="1:9" x14ac:dyDescent="0.25">
      <c r="A575" s="44" t="str">
        <f t="shared" si="17"/>
        <v>12165Febrero2025</v>
      </c>
      <c r="B575" s="44">
        <v>5</v>
      </c>
      <c r="C575" s="44">
        <v>12165</v>
      </c>
      <c r="D575" s="51" t="s">
        <v>66</v>
      </c>
      <c r="E575" s="44">
        <v>875</v>
      </c>
      <c r="F575" s="44">
        <v>923</v>
      </c>
      <c r="G575" s="52">
        <f t="shared" si="18"/>
        <v>0.94799566630552545</v>
      </c>
      <c r="H575" s="44" t="s">
        <v>41</v>
      </c>
      <c r="I575" s="44">
        <v>2025</v>
      </c>
    </row>
    <row r="576" spans="1:9" x14ac:dyDescent="0.25">
      <c r="A576" s="44" t="str">
        <f t="shared" si="17"/>
        <v>240Febrero2025</v>
      </c>
      <c r="B576" s="44">
        <v>6</v>
      </c>
      <c r="C576" s="44">
        <v>240</v>
      </c>
      <c r="D576" s="51" t="s">
        <v>23</v>
      </c>
      <c r="E576" s="44">
        <v>2510</v>
      </c>
      <c r="F576" s="44">
        <v>2671</v>
      </c>
      <c r="G576" s="52">
        <f t="shared" si="18"/>
        <v>0.93972295020591534</v>
      </c>
      <c r="H576" s="44" t="s">
        <v>41</v>
      </c>
      <c r="I576" s="44">
        <v>2025</v>
      </c>
    </row>
    <row r="577" spans="1:9" x14ac:dyDescent="0.25">
      <c r="A577" s="44" t="str">
        <f t="shared" si="17"/>
        <v>10904Febrero2025</v>
      </c>
      <c r="B577" s="44">
        <v>7</v>
      </c>
      <c r="C577" s="44">
        <v>10904</v>
      </c>
      <c r="D577" s="51" t="s">
        <v>29</v>
      </c>
      <c r="E577" s="44">
        <v>1483</v>
      </c>
      <c r="F577" s="44">
        <v>1591</v>
      </c>
      <c r="G577" s="52">
        <f t="shared" si="18"/>
        <v>0.93211816467630426</v>
      </c>
      <c r="H577" s="44" t="s">
        <v>41</v>
      </c>
      <c r="I577" s="44">
        <v>2025</v>
      </c>
    </row>
    <row r="578" spans="1:9" x14ac:dyDescent="0.25">
      <c r="A578" s="44" t="str">
        <f t="shared" ref="A578:A641" si="19">C578&amp;H578&amp;I578</f>
        <v>235Febrero2025</v>
      </c>
      <c r="B578" s="44">
        <v>8</v>
      </c>
      <c r="C578" s="44">
        <v>235</v>
      </c>
      <c r="D578" s="51" t="s">
        <v>33</v>
      </c>
      <c r="E578" s="44">
        <v>1858</v>
      </c>
      <c r="F578" s="44">
        <v>1993</v>
      </c>
      <c r="G578" s="52">
        <f t="shared" si="18"/>
        <v>0.93226292022077273</v>
      </c>
      <c r="H578" s="44" t="s">
        <v>41</v>
      </c>
      <c r="I578" s="44">
        <v>2025</v>
      </c>
    </row>
    <row r="579" spans="1:9" x14ac:dyDescent="0.25">
      <c r="A579" s="44" t="str">
        <f t="shared" si="19"/>
        <v>239Febrero2025</v>
      </c>
      <c r="B579" s="44">
        <v>9</v>
      </c>
      <c r="C579" s="44">
        <v>239</v>
      </c>
      <c r="D579" s="51" t="s">
        <v>32</v>
      </c>
      <c r="E579" s="44">
        <v>3182</v>
      </c>
      <c r="F579" s="44">
        <v>3421</v>
      </c>
      <c r="G579" s="52">
        <f t="shared" si="18"/>
        <v>0.93013738672902657</v>
      </c>
      <c r="H579" s="44" t="s">
        <v>41</v>
      </c>
      <c r="I579" s="44">
        <v>2025</v>
      </c>
    </row>
    <row r="580" spans="1:9" x14ac:dyDescent="0.25">
      <c r="A580" s="44" t="str">
        <f t="shared" si="19"/>
        <v>28745Febrero2025</v>
      </c>
      <c r="B580" s="44">
        <v>10</v>
      </c>
      <c r="C580" s="44">
        <v>28745</v>
      </c>
      <c r="D580" s="51" t="s">
        <v>6</v>
      </c>
      <c r="E580" s="44">
        <v>389</v>
      </c>
      <c r="F580" s="44">
        <v>419</v>
      </c>
      <c r="G580" s="52">
        <f t="shared" si="18"/>
        <v>0.9284009546539379</v>
      </c>
      <c r="H580" s="44" t="s">
        <v>41</v>
      </c>
      <c r="I580" s="44">
        <v>2025</v>
      </c>
    </row>
    <row r="581" spans="1:9" x14ac:dyDescent="0.25">
      <c r="A581" s="44" t="str">
        <f t="shared" si="19"/>
        <v>12163Febrero2025</v>
      </c>
      <c r="B581" s="44">
        <v>11</v>
      </c>
      <c r="C581" s="44">
        <v>12163</v>
      </c>
      <c r="D581" s="51" t="s">
        <v>67</v>
      </c>
      <c r="E581" s="44">
        <v>1097</v>
      </c>
      <c r="F581" s="44">
        <v>1211</v>
      </c>
      <c r="G581" s="52">
        <f t="shared" si="18"/>
        <v>0.90586292320396367</v>
      </c>
      <c r="H581" s="44" t="s">
        <v>41</v>
      </c>
      <c r="I581" s="44">
        <v>2025</v>
      </c>
    </row>
    <row r="582" spans="1:9" x14ac:dyDescent="0.25">
      <c r="A582" s="44" t="str">
        <f t="shared" si="19"/>
        <v>11116Febrero2025</v>
      </c>
      <c r="B582" s="44">
        <v>12</v>
      </c>
      <c r="C582" s="44">
        <v>11116</v>
      </c>
      <c r="D582" s="51" t="s">
        <v>28</v>
      </c>
      <c r="E582" s="44">
        <v>6901</v>
      </c>
      <c r="F582" s="44">
        <v>7700</v>
      </c>
      <c r="G582" s="52">
        <f t="shared" si="18"/>
        <v>0.89623376623376627</v>
      </c>
      <c r="H582" s="44" t="s">
        <v>41</v>
      </c>
      <c r="I582" s="44">
        <v>2025</v>
      </c>
    </row>
    <row r="583" spans="1:9" x14ac:dyDescent="0.25">
      <c r="A583" s="44" t="str">
        <f t="shared" si="19"/>
        <v>11931Febrero2025</v>
      </c>
      <c r="B583" s="44">
        <v>13</v>
      </c>
      <c r="C583" s="44">
        <v>11931</v>
      </c>
      <c r="D583" s="51" t="s">
        <v>39</v>
      </c>
      <c r="E583" s="44">
        <v>1720</v>
      </c>
      <c r="F583" s="44">
        <v>1901</v>
      </c>
      <c r="G583" s="52">
        <f t="shared" si="18"/>
        <v>0.90478695423461342</v>
      </c>
      <c r="H583" s="44" t="s">
        <v>41</v>
      </c>
      <c r="I583" s="44">
        <v>2025</v>
      </c>
    </row>
    <row r="584" spans="1:9" x14ac:dyDescent="0.25">
      <c r="A584" s="44" t="str">
        <f t="shared" si="19"/>
        <v>242Febrero2025</v>
      </c>
      <c r="B584" s="44">
        <v>14</v>
      </c>
      <c r="C584" s="44">
        <v>242</v>
      </c>
      <c r="D584" s="51" t="s">
        <v>7</v>
      </c>
      <c r="E584" s="44">
        <v>1802</v>
      </c>
      <c r="F584" s="44">
        <v>2053</v>
      </c>
      <c r="G584" s="52">
        <f t="shared" si="18"/>
        <v>0.87773989283974674</v>
      </c>
      <c r="H584" s="44" t="s">
        <v>41</v>
      </c>
      <c r="I584" s="44">
        <v>2025</v>
      </c>
    </row>
    <row r="585" spans="1:9" x14ac:dyDescent="0.25">
      <c r="A585" s="44" t="str">
        <f t="shared" si="19"/>
        <v>10951Febrero2025</v>
      </c>
      <c r="B585" s="44">
        <v>15</v>
      </c>
      <c r="C585" s="44">
        <v>10951</v>
      </c>
      <c r="D585" s="51" t="s">
        <v>24</v>
      </c>
      <c r="E585" s="44">
        <v>1315</v>
      </c>
      <c r="F585" s="44">
        <v>1506</v>
      </c>
      <c r="G585" s="52">
        <f t="shared" si="18"/>
        <v>0.87317397078353254</v>
      </c>
      <c r="H585" s="44" t="s">
        <v>41</v>
      </c>
      <c r="I585" s="44">
        <v>2025</v>
      </c>
    </row>
    <row r="586" spans="1:9" x14ac:dyDescent="0.25">
      <c r="A586" s="44" t="str">
        <f t="shared" si="19"/>
        <v>241Febrero2025</v>
      </c>
      <c r="B586" s="44">
        <v>16</v>
      </c>
      <c r="C586" s="44">
        <v>241</v>
      </c>
      <c r="D586" s="51" t="s">
        <v>30</v>
      </c>
      <c r="E586" s="44">
        <v>979</v>
      </c>
      <c r="F586" s="44">
        <v>1126</v>
      </c>
      <c r="G586" s="52">
        <f t="shared" si="18"/>
        <v>0.86944937833037306</v>
      </c>
      <c r="H586" s="44" t="s">
        <v>41</v>
      </c>
      <c r="I586" s="44">
        <v>2025</v>
      </c>
    </row>
    <row r="587" spans="1:9" x14ac:dyDescent="0.25">
      <c r="A587" s="44" t="str">
        <f t="shared" si="19"/>
        <v>234Febrero2025</v>
      </c>
      <c r="B587" s="44">
        <v>17</v>
      </c>
      <c r="C587" s="44">
        <v>234</v>
      </c>
      <c r="D587" s="51" t="s">
        <v>18</v>
      </c>
      <c r="E587" s="44">
        <v>966</v>
      </c>
      <c r="F587" s="44">
        <v>1152</v>
      </c>
      <c r="G587" s="52">
        <f t="shared" si="18"/>
        <v>0.83854166666666663</v>
      </c>
      <c r="H587" s="44" t="s">
        <v>41</v>
      </c>
      <c r="I587" s="44">
        <v>2025</v>
      </c>
    </row>
    <row r="588" spans="1:9" x14ac:dyDescent="0.25">
      <c r="A588" s="44" t="str">
        <f t="shared" si="19"/>
        <v>12166Febrero2025</v>
      </c>
      <c r="B588" s="44">
        <v>18</v>
      </c>
      <c r="C588" s="44">
        <v>12166</v>
      </c>
      <c r="D588" s="51" t="s">
        <v>65</v>
      </c>
      <c r="E588" s="44">
        <v>1255</v>
      </c>
      <c r="F588" s="44">
        <v>1508</v>
      </c>
      <c r="G588" s="52">
        <f t="shared" si="18"/>
        <v>0.83222811671087538</v>
      </c>
      <c r="H588" s="44" t="s">
        <v>41</v>
      </c>
      <c r="I588" s="44">
        <v>2025</v>
      </c>
    </row>
    <row r="589" spans="1:9" x14ac:dyDescent="0.25">
      <c r="A589" s="44" t="str">
        <f t="shared" si="19"/>
        <v>238Febrero2025</v>
      </c>
      <c r="B589" s="44">
        <v>19</v>
      </c>
      <c r="C589" s="44">
        <v>238</v>
      </c>
      <c r="D589" s="51" t="s">
        <v>35</v>
      </c>
      <c r="E589" s="44">
        <v>1231</v>
      </c>
      <c r="F589" s="44">
        <v>1547</v>
      </c>
      <c r="G589" s="52">
        <f t="shared" si="18"/>
        <v>0.79573367808661921</v>
      </c>
      <c r="H589" s="44" t="s">
        <v>41</v>
      </c>
      <c r="I589" s="44">
        <v>2025</v>
      </c>
    </row>
    <row r="590" spans="1:9" x14ac:dyDescent="0.25">
      <c r="A590" s="44" t="str">
        <f t="shared" si="19"/>
        <v>236Febrero2025</v>
      </c>
      <c r="B590" s="44">
        <v>20</v>
      </c>
      <c r="C590" s="44">
        <v>236</v>
      </c>
      <c r="D590" s="51" t="s">
        <v>25</v>
      </c>
      <c r="E590" s="44">
        <v>2726</v>
      </c>
      <c r="F590" s="44">
        <v>3544</v>
      </c>
      <c r="G590" s="52">
        <f t="shared" si="18"/>
        <v>0.7691873589164786</v>
      </c>
      <c r="H590" s="44" t="s">
        <v>41</v>
      </c>
      <c r="I590" s="44">
        <v>2025</v>
      </c>
    </row>
    <row r="591" spans="1:9" x14ac:dyDescent="0.25">
      <c r="A591" s="44" t="str">
        <f t="shared" si="19"/>
        <v>243Febrero2025</v>
      </c>
      <c r="B591" s="44">
        <v>21</v>
      </c>
      <c r="C591" s="44">
        <v>243</v>
      </c>
      <c r="D591" s="51" t="s">
        <v>34</v>
      </c>
      <c r="E591" s="44">
        <v>2005</v>
      </c>
      <c r="F591" s="44">
        <v>2947</v>
      </c>
      <c r="G591" s="52">
        <f t="shared" si="18"/>
        <v>0.68035290125551406</v>
      </c>
      <c r="H591" s="44" t="s">
        <v>41</v>
      </c>
      <c r="I591" s="44">
        <v>2025</v>
      </c>
    </row>
    <row r="592" spans="1:9" x14ac:dyDescent="0.25">
      <c r="A592" s="44" t="str">
        <f t="shared" si="19"/>
        <v>1557Febrero2025</v>
      </c>
      <c r="B592" s="44">
        <v>22</v>
      </c>
      <c r="C592" s="44">
        <v>1557</v>
      </c>
      <c r="D592" s="51" t="s">
        <v>12</v>
      </c>
      <c r="E592" s="44">
        <v>358</v>
      </c>
      <c r="F592" s="44">
        <v>675</v>
      </c>
      <c r="G592" s="52">
        <f t="shared" si="18"/>
        <v>0.53037037037037038</v>
      </c>
      <c r="H592" s="44" t="s">
        <v>41</v>
      </c>
      <c r="I592" s="44">
        <v>2025</v>
      </c>
    </row>
    <row r="593" spans="1:9" x14ac:dyDescent="0.25">
      <c r="A593" s="44" t="str">
        <f t="shared" si="19"/>
        <v>237Febrero2025</v>
      </c>
      <c r="B593" s="44">
        <v>23</v>
      </c>
      <c r="C593" s="44">
        <v>237</v>
      </c>
      <c r="D593" s="51" t="s">
        <v>31</v>
      </c>
      <c r="E593" s="44">
        <v>3096</v>
      </c>
      <c r="F593" s="44">
        <v>5897</v>
      </c>
      <c r="G593" s="52">
        <f t="shared" si="18"/>
        <v>0.52501271833135488</v>
      </c>
      <c r="H593" s="44" t="s">
        <v>41</v>
      </c>
      <c r="I593" s="44">
        <v>2025</v>
      </c>
    </row>
    <row r="594" spans="1:9" x14ac:dyDescent="0.25">
      <c r="A594" s="44" t="str">
        <f t="shared" si="19"/>
        <v>239Marzo2025</v>
      </c>
      <c r="B594" s="44">
        <v>1</v>
      </c>
      <c r="C594" s="44">
        <v>239</v>
      </c>
      <c r="D594" s="51" t="s">
        <v>32</v>
      </c>
      <c r="E594" s="44">
        <v>3398</v>
      </c>
      <c r="F594" s="44">
        <v>3494</v>
      </c>
      <c r="G594" s="52">
        <f t="shared" si="18"/>
        <v>0.97252432741843164</v>
      </c>
      <c r="H594" s="44" t="s">
        <v>42</v>
      </c>
      <c r="I594" s="44">
        <v>2025</v>
      </c>
    </row>
    <row r="595" spans="1:9" x14ac:dyDescent="0.25">
      <c r="A595" s="44" t="str">
        <f t="shared" si="19"/>
        <v>11117Marzo2025</v>
      </c>
      <c r="B595" s="44">
        <v>2</v>
      </c>
      <c r="C595" s="44">
        <v>11117</v>
      </c>
      <c r="D595" s="51" t="s">
        <v>15</v>
      </c>
      <c r="E595" s="44">
        <v>6105</v>
      </c>
      <c r="F595" s="44">
        <v>6361</v>
      </c>
      <c r="G595" s="52">
        <f t="shared" si="18"/>
        <v>0.95975475554158152</v>
      </c>
      <c r="H595" s="44" t="s">
        <v>42</v>
      </c>
      <c r="I595" s="44">
        <v>2025</v>
      </c>
    </row>
    <row r="596" spans="1:9" x14ac:dyDescent="0.25">
      <c r="A596" s="44" t="str">
        <f t="shared" si="19"/>
        <v>11882Marzo2025</v>
      </c>
      <c r="B596" s="44">
        <v>3</v>
      </c>
      <c r="C596" s="44">
        <v>11882</v>
      </c>
      <c r="D596" s="51" t="s">
        <v>22</v>
      </c>
      <c r="E596" s="44">
        <v>823</v>
      </c>
      <c r="F596" s="44">
        <v>860</v>
      </c>
      <c r="G596" s="52">
        <f t="shared" si="18"/>
        <v>0.9569767441860465</v>
      </c>
      <c r="H596" s="44" t="s">
        <v>42</v>
      </c>
      <c r="I596" s="44">
        <v>2025</v>
      </c>
    </row>
    <row r="597" spans="1:9" x14ac:dyDescent="0.25">
      <c r="A597" s="44" t="str">
        <f t="shared" si="19"/>
        <v>12165Marzo2025</v>
      </c>
      <c r="B597" s="44">
        <v>4</v>
      </c>
      <c r="C597" s="44">
        <v>12165</v>
      </c>
      <c r="D597" s="51" t="s">
        <v>66</v>
      </c>
      <c r="E597" s="44">
        <v>688</v>
      </c>
      <c r="F597" s="44">
        <v>719</v>
      </c>
      <c r="G597" s="52">
        <f t="shared" si="18"/>
        <v>0.95688456189151594</v>
      </c>
      <c r="H597" s="44" t="s">
        <v>42</v>
      </c>
      <c r="I597" s="44">
        <v>2025</v>
      </c>
    </row>
    <row r="598" spans="1:9" x14ac:dyDescent="0.25">
      <c r="A598" s="44" t="str">
        <f t="shared" si="19"/>
        <v>10904Marzo2025</v>
      </c>
      <c r="B598" s="44">
        <v>5</v>
      </c>
      <c r="C598" s="44">
        <v>10904</v>
      </c>
      <c r="D598" s="51" t="s">
        <v>29</v>
      </c>
      <c r="E598" s="44">
        <v>1312</v>
      </c>
      <c r="F598" s="44">
        <v>1385</v>
      </c>
      <c r="G598" s="52">
        <f t="shared" si="18"/>
        <v>0.94729241877256321</v>
      </c>
      <c r="H598" s="44" t="s">
        <v>42</v>
      </c>
      <c r="I598" s="44">
        <v>2025</v>
      </c>
    </row>
    <row r="599" spans="1:9" x14ac:dyDescent="0.25">
      <c r="A599" s="44" t="str">
        <f t="shared" si="19"/>
        <v>11799Marzo2025</v>
      </c>
      <c r="B599" s="44">
        <v>6</v>
      </c>
      <c r="C599" s="44">
        <v>11799</v>
      </c>
      <c r="D599" s="51" t="s">
        <v>21</v>
      </c>
      <c r="E599" s="44">
        <v>1366</v>
      </c>
      <c r="F599" s="44">
        <v>1452</v>
      </c>
      <c r="G599" s="52">
        <f t="shared" si="18"/>
        <v>0.94077134986225897</v>
      </c>
      <c r="H599" s="44" t="s">
        <v>42</v>
      </c>
      <c r="I599" s="44">
        <v>2025</v>
      </c>
    </row>
    <row r="600" spans="1:9" x14ac:dyDescent="0.25">
      <c r="A600" s="44" t="str">
        <f t="shared" si="19"/>
        <v>235Marzo2025</v>
      </c>
      <c r="B600" s="44">
        <v>7</v>
      </c>
      <c r="C600" s="44">
        <v>235</v>
      </c>
      <c r="D600" s="51" t="s">
        <v>33</v>
      </c>
      <c r="E600" s="44">
        <v>2002</v>
      </c>
      <c r="F600" s="44">
        <v>2126</v>
      </c>
      <c r="G600" s="52">
        <f t="shared" si="18"/>
        <v>0.94167450611476955</v>
      </c>
      <c r="H600" s="44" t="s">
        <v>42</v>
      </c>
      <c r="I600" s="44">
        <v>2025</v>
      </c>
    </row>
    <row r="601" spans="1:9" x14ac:dyDescent="0.25">
      <c r="A601" s="44" t="str">
        <f t="shared" si="19"/>
        <v>12163Marzo2025</v>
      </c>
      <c r="B601" s="44">
        <v>8</v>
      </c>
      <c r="C601" s="44">
        <v>12163</v>
      </c>
      <c r="D601" s="51" t="s">
        <v>67</v>
      </c>
      <c r="E601" s="44">
        <v>1286</v>
      </c>
      <c r="F601" s="44">
        <v>1379</v>
      </c>
      <c r="G601" s="52">
        <f t="shared" si="18"/>
        <v>0.93255982596084119</v>
      </c>
      <c r="H601" s="44" t="s">
        <v>42</v>
      </c>
      <c r="I601" s="44">
        <v>2025</v>
      </c>
    </row>
    <row r="602" spans="1:9" x14ac:dyDescent="0.25">
      <c r="A602" s="44" t="str">
        <f t="shared" si="19"/>
        <v>240Marzo2025</v>
      </c>
      <c r="B602" s="44">
        <v>9</v>
      </c>
      <c r="C602" s="44">
        <v>240</v>
      </c>
      <c r="D602" s="51" t="s">
        <v>23</v>
      </c>
      <c r="E602" s="44">
        <v>2705</v>
      </c>
      <c r="F602" s="44">
        <v>2911</v>
      </c>
      <c r="G602" s="52">
        <f t="shared" si="18"/>
        <v>0.92923394022672623</v>
      </c>
      <c r="H602" s="44" t="s">
        <v>42</v>
      </c>
      <c r="I602" s="44">
        <v>2025</v>
      </c>
    </row>
    <row r="603" spans="1:9" x14ac:dyDescent="0.25">
      <c r="A603" s="44" t="str">
        <f t="shared" si="19"/>
        <v>241Marzo2025</v>
      </c>
      <c r="B603" s="44">
        <v>10</v>
      </c>
      <c r="C603" s="44">
        <v>241</v>
      </c>
      <c r="D603" s="51" t="s">
        <v>30</v>
      </c>
      <c r="E603" s="44">
        <v>1072</v>
      </c>
      <c r="F603" s="44">
        <v>1175</v>
      </c>
      <c r="G603" s="52">
        <f t="shared" si="18"/>
        <v>0.91234042553191486</v>
      </c>
      <c r="H603" s="44" t="s">
        <v>42</v>
      </c>
      <c r="I603" s="44">
        <v>2025</v>
      </c>
    </row>
    <row r="604" spans="1:9" x14ac:dyDescent="0.25">
      <c r="A604" s="44" t="str">
        <f t="shared" si="19"/>
        <v>236Marzo2025</v>
      </c>
      <c r="B604" s="44">
        <v>11</v>
      </c>
      <c r="C604" s="44">
        <v>236</v>
      </c>
      <c r="D604" s="51" t="s">
        <v>25</v>
      </c>
      <c r="E604" s="44">
        <v>3300</v>
      </c>
      <c r="F604" s="44">
        <v>3702</v>
      </c>
      <c r="G604" s="52">
        <f t="shared" si="18"/>
        <v>0.89141004862236628</v>
      </c>
      <c r="H604" s="44" t="s">
        <v>42</v>
      </c>
      <c r="I604" s="44">
        <v>2025</v>
      </c>
    </row>
    <row r="605" spans="1:9" x14ac:dyDescent="0.25">
      <c r="A605" s="44" t="str">
        <f t="shared" si="19"/>
        <v>11116Marzo2025</v>
      </c>
      <c r="B605" s="44">
        <v>12</v>
      </c>
      <c r="C605" s="44">
        <v>11116</v>
      </c>
      <c r="D605" s="51" t="s">
        <v>28</v>
      </c>
      <c r="E605" s="44">
        <v>7567</v>
      </c>
      <c r="F605" s="44">
        <v>8551</v>
      </c>
      <c r="G605" s="52">
        <f t="shared" si="18"/>
        <v>0.88492573967956967</v>
      </c>
      <c r="H605" s="44" t="s">
        <v>42</v>
      </c>
      <c r="I605" s="44">
        <v>2025</v>
      </c>
    </row>
    <row r="606" spans="1:9" x14ac:dyDescent="0.25">
      <c r="A606" s="44" t="str">
        <f t="shared" si="19"/>
        <v>238Marzo2025</v>
      </c>
      <c r="B606" s="44">
        <v>13</v>
      </c>
      <c r="C606" s="44">
        <v>238</v>
      </c>
      <c r="D606" s="51" t="s">
        <v>35</v>
      </c>
      <c r="E606" s="44">
        <v>1724</v>
      </c>
      <c r="F606" s="44">
        <v>1968</v>
      </c>
      <c r="G606" s="52">
        <f t="shared" si="18"/>
        <v>0.87601626016260159</v>
      </c>
      <c r="H606" s="44" t="s">
        <v>42</v>
      </c>
      <c r="I606" s="44">
        <v>2025</v>
      </c>
    </row>
    <row r="607" spans="1:9" x14ac:dyDescent="0.25">
      <c r="A607" s="44" t="str">
        <f t="shared" si="19"/>
        <v>242Marzo2025</v>
      </c>
      <c r="B607" s="44">
        <v>14</v>
      </c>
      <c r="C607" s="44">
        <v>242</v>
      </c>
      <c r="D607" s="51" t="s">
        <v>7</v>
      </c>
      <c r="E607" s="44">
        <v>1564</v>
      </c>
      <c r="F607" s="44">
        <v>1810</v>
      </c>
      <c r="G607" s="52">
        <f t="shared" si="18"/>
        <v>0.8640883977900552</v>
      </c>
      <c r="H607" s="44" t="s">
        <v>42</v>
      </c>
      <c r="I607" s="44">
        <v>2025</v>
      </c>
    </row>
    <row r="608" spans="1:9" x14ac:dyDescent="0.25">
      <c r="A608" s="44" t="str">
        <f t="shared" si="19"/>
        <v>11931Marzo2025</v>
      </c>
      <c r="B608" s="44">
        <v>15</v>
      </c>
      <c r="C608" s="44">
        <v>11931</v>
      </c>
      <c r="D608" s="51" t="s">
        <v>39</v>
      </c>
      <c r="E608" s="44">
        <v>1810</v>
      </c>
      <c r="F608" s="44">
        <v>2098</v>
      </c>
      <c r="G608" s="52">
        <f t="shared" si="18"/>
        <v>0.86272640610104867</v>
      </c>
      <c r="H608" s="44" t="s">
        <v>42</v>
      </c>
      <c r="I608" s="44">
        <v>2025</v>
      </c>
    </row>
    <row r="609" spans="1:9" x14ac:dyDescent="0.25">
      <c r="A609" s="44" t="str">
        <f t="shared" si="19"/>
        <v>10951Marzo2025</v>
      </c>
      <c r="B609" s="44">
        <v>16</v>
      </c>
      <c r="C609" s="44">
        <v>10951</v>
      </c>
      <c r="D609" s="51" t="s">
        <v>24</v>
      </c>
      <c r="E609" s="44">
        <v>786</v>
      </c>
      <c r="F609" s="44">
        <v>926</v>
      </c>
      <c r="G609" s="52">
        <f t="shared" si="18"/>
        <v>0.84881209503239741</v>
      </c>
      <c r="H609" s="44" t="s">
        <v>42</v>
      </c>
      <c r="I609" s="44">
        <v>2025</v>
      </c>
    </row>
    <row r="610" spans="1:9" x14ac:dyDescent="0.25">
      <c r="A610" s="44" t="str">
        <f t="shared" si="19"/>
        <v>237Marzo2025</v>
      </c>
      <c r="B610" s="44">
        <v>17</v>
      </c>
      <c r="C610" s="44">
        <v>237</v>
      </c>
      <c r="D610" s="51" t="s">
        <v>31</v>
      </c>
      <c r="E610" s="44">
        <v>4027</v>
      </c>
      <c r="F610" s="44">
        <v>5025</v>
      </c>
      <c r="G610" s="52">
        <f t="shared" si="18"/>
        <v>0.80139303482587065</v>
      </c>
      <c r="H610" s="44" t="s">
        <v>42</v>
      </c>
      <c r="I610" s="44">
        <v>2025</v>
      </c>
    </row>
    <row r="611" spans="1:9" x14ac:dyDescent="0.25">
      <c r="A611" s="44" t="str">
        <f t="shared" si="19"/>
        <v>243Marzo2025</v>
      </c>
      <c r="B611" s="44">
        <v>18</v>
      </c>
      <c r="C611" s="44">
        <v>243</v>
      </c>
      <c r="D611" s="51" t="s">
        <v>34</v>
      </c>
      <c r="E611" s="44">
        <v>2561</v>
      </c>
      <c r="F611" s="44">
        <v>3531</v>
      </c>
      <c r="G611" s="52">
        <f t="shared" si="18"/>
        <v>0.72529028603794954</v>
      </c>
      <c r="H611" s="44" t="s">
        <v>42</v>
      </c>
      <c r="I611" s="44">
        <v>2025</v>
      </c>
    </row>
    <row r="612" spans="1:9" x14ac:dyDescent="0.25">
      <c r="A612" s="44" t="str">
        <f t="shared" si="19"/>
        <v>12166Marzo2025</v>
      </c>
      <c r="B612" s="44">
        <v>19</v>
      </c>
      <c r="C612" s="44">
        <v>12166</v>
      </c>
      <c r="D612" s="51" t="s">
        <v>65</v>
      </c>
      <c r="E612" s="44">
        <v>869</v>
      </c>
      <c r="F612" s="44">
        <v>1302</v>
      </c>
      <c r="G612" s="52">
        <f t="shared" si="18"/>
        <v>0.66743471582181257</v>
      </c>
      <c r="H612" s="44" t="s">
        <v>42</v>
      </c>
      <c r="I612" s="44">
        <v>2025</v>
      </c>
    </row>
    <row r="613" spans="1:9" x14ac:dyDescent="0.25">
      <c r="A613" s="44" t="str">
        <f t="shared" si="19"/>
        <v>1557Marzo2025</v>
      </c>
      <c r="B613" s="44">
        <v>20</v>
      </c>
      <c r="C613" s="44">
        <v>1557</v>
      </c>
      <c r="D613" s="51" t="s">
        <v>12</v>
      </c>
      <c r="E613" s="44">
        <v>1096</v>
      </c>
      <c r="F613" s="44">
        <v>2117</v>
      </c>
      <c r="G613" s="52">
        <f t="shared" si="18"/>
        <v>0.51771374586679264</v>
      </c>
      <c r="H613" s="44" t="s">
        <v>42</v>
      </c>
      <c r="I613" s="44">
        <v>2025</v>
      </c>
    </row>
    <row r="614" spans="1:9" x14ac:dyDescent="0.25">
      <c r="A614" s="44" t="str">
        <f t="shared" si="19"/>
        <v>234Marzo2025</v>
      </c>
      <c r="B614" s="44">
        <v>21</v>
      </c>
      <c r="C614" s="44">
        <v>234</v>
      </c>
      <c r="D614" s="51" t="s">
        <v>18</v>
      </c>
      <c r="E614" s="44">
        <v>3029</v>
      </c>
      <c r="F614" s="44">
        <v>6396</v>
      </c>
      <c r="G614" s="52">
        <f t="shared" ref="G614:G677" si="20">E614/F614</f>
        <v>0.47357723577235772</v>
      </c>
      <c r="H614" s="44" t="s">
        <v>42</v>
      </c>
      <c r="I614" s="44">
        <v>2025</v>
      </c>
    </row>
    <row r="615" spans="1:9" x14ac:dyDescent="0.25">
      <c r="A615" s="44" t="str">
        <f t="shared" si="19"/>
        <v>28745Marzo2025</v>
      </c>
      <c r="B615" s="44">
        <v>22</v>
      </c>
      <c r="C615" s="44">
        <v>28745</v>
      </c>
      <c r="D615" s="51" t="s">
        <v>6</v>
      </c>
      <c r="E615" s="44">
        <v>509</v>
      </c>
      <c r="F615" s="44">
        <v>1105</v>
      </c>
      <c r="G615" s="52">
        <f t="shared" si="20"/>
        <v>0.4606334841628959</v>
      </c>
      <c r="H615" s="44" t="s">
        <v>42</v>
      </c>
      <c r="I615" s="44">
        <v>2025</v>
      </c>
    </row>
    <row r="616" spans="1:9" x14ac:dyDescent="0.25">
      <c r="A616" s="44" t="str">
        <f t="shared" si="19"/>
        <v>246Marzo2025</v>
      </c>
      <c r="B616" s="44">
        <v>23</v>
      </c>
      <c r="C616" s="44">
        <v>246</v>
      </c>
      <c r="D616" s="51" t="s">
        <v>9</v>
      </c>
      <c r="E616" s="44">
        <v>181</v>
      </c>
      <c r="F616" s="44">
        <v>1785</v>
      </c>
      <c r="G616" s="52">
        <f t="shared" si="20"/>
        <v>0.10140056022408964</v>
      </c>
      <c r="H616" s="44" t="s">
        <v>42</v>
      </c>
      <c r="I616" s="44">
        <v>2025</v>
      </c>
    </row>
    <row r="617" spans="1:9" x14ac:dyDescent="0.25">
      <c r="A617" s="44" t="str">
        <f t="shared" si="19"/>
        <v>236Abril2025</v>
      </c>
      <c r="B617" s="44">
        <v>1</v>
      </c>
      <c r="C617" s="44">
        <v>236</v>
      </c>
      <c r="D617" s="51" t="s">
        <v>25</v>
      </c>
      <c r="E617" s="44">
        <v>3691</v>
      </c>
      <c r="F617" s="44">
        <v>3723</v>
      </c>
      <c r="G617" s="52">
        <f t="shared" si="20"/>
        <v>0.99140478109051844</v>
      </c>
      <c r="H617" s="44" t="s">
        <v>43</v>
      </c>
      <c r="I617" s="44">
        <v>2025</v>
      </c>
    </row>
    <row r="618" spans="1:9" x14ac:dyDescent="0.25">
      <c r="A618" s="44" t="str">
        <f t="shared" si="19"/>
        <v>11117Abril2025</v>
      </c>
      <c r="B618" s="44">
        <v>2</v>
      </c>
      <c r="C618" s="44">
        <v>11117</v>
      </c>
      <c r="D618" s="51" t="s">
        <v>15</v>
      </c>
      <c r="E618" s="44">
        <v>6587</v>
      </c>
      <c r="F618" s="44">
        <v>6796</v>
      </c>
      <c r="G618" s="52">
        <f t="shared" si="20"/>
        <v>0.96924661565626835</v>
      </c>
      <c r="H618" s="44" t="s">
        <v>43</v>
      </c>
      <c r="I618" s="44">
        <v>2025</v>
      </c>
    </row>
    <row r="619" spans="1:9" x14ac:dyDescent="0.25">
      <c r="A619" s="44" t="str">
        <f t="shared" si="19"/>
        <v>11882Abril2025</v>
      </c>
      <c r="B619" s="44">
        <v>3</v>
      </c>
      <c r="C619" s="44">
        <v>11882</v>
      </c>
      <c r="D619" s="51" t="s">
        <v>22</v>
      </c>
      <c r="E619" s="44">
        <v>1038</v>
      </c>
      <c r="F619" s="44">
        <v>1086</v>
      </c>
      <c r="G619" s="52">
        <f t="shared" si="20"/>
        <v>0.95580110497237569</v>
      </c>
      <c r="H619" s="44" t="s">
        <v>43</v>
      </c>
      <c r="I619" s="44">
        <v>2025</v>
      </c>
    </row>
    <row r="620" spans="1:9" x14ac:dyDescent="0.25">
      <c r="A620" s="44" t="str">
        <f t="shared" si="19"/>
        <v>12163Abril2025</v>
      </c>
      <c r="B620" s="44">
        <v>4</v>
      </c>
      <c r="C620" s="44">
        <v>12163</v>
      </c>
      <c r="D620" s="51" t="s">
        <v>67</v>
      </c>
      <c r="E620" s="44">
        <v>2356</v>
      </c>
      <c r="F620" s="44">
        <v>2453</v>
      </c>
      <c r="G620" s="52">
        <f t="shared" si="20"/>
        <v>0.96045658377496945</v>
      </c>
      <c r="H620" s="44" t="s">
        <v>43</v>
      </c>
      <c r="I620" s="44">
        <v>2025</v>
      </c>
    </row>
    <row r="621" spans="1:9" x14ac:dyDescent="0.25">
      <c r="A621" s="44" t="str">
        <f t="shared" si="19"/>
        <v>12165Abril2025</v>
      </c>
      <c r="B621" s="44">
        <v>5</v>
      </c>
      <c r="C621" s="44">
        <v>12165</v>
      </c>
      <c r="D621" s="51" t="s">
        <v>66</v>
      </c>
      <c r="E621" s="44">
        <v>950</v>
      </c>
      <c r="F621" s="44">
        <v>992</v>
      </c>
      <c r="G621" s="52">
        <f t="shared" si="20"/>
        <v>0.95766129032258063</v>
      </c>
      <c r="H621" s="44" t="s">
        <v>43</v>
      </c>
      <c r="I621" s="44">
        <v>2025</v>
      </c>
    </row>
    <row r="622" spans="1:9" x14ac:dyDescent="0.25">
      <c r="A622" s="44" t="str">
        <f t="shared" si="19"/>
        <v>242Abril2025</v>
      </c>
      <c r="B622" s="44">
        <v>6</v>
      </c>
      <c r="C622" s="44">
        <v>242</v>
      </c>
      <c r="D622" s="51" t="s">
        <v>7</v>
      </c>
      <c r="E622" s="44">
        <v>1854</v>
      </c>
      <c r="F622" s="44">
        <v>1943</v>
      </c>
      <c r="G622" s="52">
        <f t="shared" si="20"/>
        <v>0.95419454451878538</v>
      </c>
      <c r="H622" s="44" t="s">
        <v>43</v>
      </c>
      <c r="I622" s="44">
        <v>2025</v>
      </c>
    </row>
    <row r="623" spans="1:9" x14ac:dyDescent="0.25">
      <c r="A623" s="44" t="str">
        <f t="shared" si="19"/>
        <v>238Abril2025</v>
      </c>
      <c r="B623" s="44">
        <v>7</v>
      </c>
      <c r="C623" s="44">
        <v>238</v>
      </c>
      <c r="D623" s="51" t="s">
        <v>35</v>
      </c>
      <c r="E623" s="44">
        <v>1867</v>
      </c>
      <c r="F623" s="44">
        <v>1976</v>
      </c>
      <c r="G623" s="52">
        <f t="shared" si="20"/>
        <v>0.94483805668016196</v>
      </c>
      <c r="H623" s="44" t="s">
        <v>43</v>
      </c>
      <c r="I623" s="44">
        <v>2025</v>
      </c>
    </row>
    <row r="624" spans="1:9" x14ac:dyDescent="0.25">
      <c r="A624" s="44" t="str">
        <f t="shared" si="19"/>
        <v>241Abril2025</v>
      </c>
      <c r="B624" s="44">
        <v>8</v>
      </c>
      <c r="C624" s="44">
        <v>241</v>
      </c>
      <c r="D624" s="51" t="s">
        <v>30</v>
      </c>
      <c r="E624" s="44">
        <v>1884</v>
      </c>
      <c r="F624" s="44">
        <v>2000</v>
      </c>
      <c r="G624" s="52">
        <f t="shared" si="20"/>
        <v>0.94199999999999995</v>
      </c>
      <c r="H624" s="44" t="s">
        <v>43</v>
      </c>
      <c r="I624" s="44">
        <v>2025</v>
      </c>
    </row>
    <row r="625" spans="1:9" x14ac:dyDescent="0.25">
      <c r="A625" s="44" t="str">
        <f t="shared" si="19"/>
        <v>239Abril2025</v>
      </c>
      <c r="B625" s="44">
        <v>9</v>
      </c>
      <c r="C625" s="44">
        <v>239</v>
      </c>
      <c r="D625" s="51" t="s">
        <v>32</v>
      </c>
      <c r="E625" s="44">
        <v>3357</v>
      </c>
      <c r="F625" s="44">
        <v>3604</v>
      </c>
      <c r="G625" s="52">
        <f t="shared" si="20"/>
        <v>0.93146503884572696</v>
      </c>
      <c r="H625" s="44" t="s">
        <v>43</v>
      </c>
      <c r="I625" s="44">
        <v>2025</v>
      </c>
    </row>
    <row r="626" spans="1:9" x14ac:dyDescent="0.25">
      <c r="A626" s="44" t="str">
        <f t="shared" si="19"/>
        <v>10951Abril2025</v>
      </c>
      <c r="B626" s="44">
        <v>10</v>
      </c>
      <c r="C626" s="44">
        <v>10951</v>
      </c>
      <c r="D626" s="51" t="s">
        <v>24</v>
      </c>
      <c r="E626" s="44">
        <v>1206</v>
      </c>
      <c r="F626" s="44">
        <v>1326</v>
      </c>
      <c r="G626" s="52">
        <f t="shared" si="20"/>
        <v>0.9095022624434389</v>
      </c>
      <c r="H626" s="44" t="s">
        <v>43</v>
      </c>
      <c r="I626" s="44">
        <v>2025</v>
      </c>
    </row>
    <row r="627" spans="1:9" x14ac:dyDescent="0.25">
      <c r="A627" s="44" t="str">
        <f t="shared" si="19"/>
        <v>240Abril2025</v>
      </c>
      <c r="B627" s="44">
        <v>11</v>
      </c>
      <c r="C627" s="44">
        <v>240</v>
      </c>
      <c r="D627" s="51" t="s">
        <v>23</v>
      </c>
      <c r="E627" s="44">
        <v>2822</v>
      </c>
      <c r="F627" s="44">
        <v>3085</v>
      </c>
      <c r="G627" s="52">
        <f t="shared" si="20"/>
        <v>0.91474878444084273</v>
      </c>
      <c r="H627" s="44" t="s">
        <v>43</v>
      </c>
      <c r="I627" s="44">
        <v>2025</v>
      </c>
    </row>
    <row r="628" spans="1:9" x14ac:dyDescent="0.25">
      <c r="A628" s="44" t="str">
        <f t="shared" si="19"/>
        <v>12166Abril2025</v>
      </c>
      <c r="B628" s="44">
        <v>12</v>
      </c>
      <c r="C628" s="44">
        <v>12166</v>
      </c>
      <c r="D628" s="51" t="s">
        <v>65</v>
      </c>
      <c r="E628" s="44">
        <v>1553</v>
      </c>
      <c r="F628" s="44">
        <v>1719</v>
      </c>
      <c r="G628" s="52">
        <f t="shared" si="20"/>
        <v>0.90343222803955792</v>
      </c>
      <c r="H628" s="44" t="s">
        <v>43</v>
      </c>
      <c r="I628" s="44">
        <v>2025</v>
      </c>
    </row>
    <row r="629" spans="1:9" x14ac:dyDescent="0.25">
      <c r="A629" s="44" t="str">
        <f t="shared" si="19"/>
        <v>11799Abril2025</v>
      </c>
      <c r="B629" s="44">
        <v>13</v>
      </c>
      <c r="C629" s="44">
        <v>11799</v>
      </c>
      <c r="D629" s="51" t="s">
        <v>21</v>
      </c>
      <c r="E629" s="44">
        <v>1277</v>
      </c>
      <c r="F629" s="44">
        <v>1434</v>
      </c>
      <c r="G629" s="52">
        <f t="shared" si="20"/>
        <v>0.89051603905160392</v>
      </c>
      <c r="H629" s="44" t="s">
        <v>43</v>
      </c>
      <c r="I629" s="44">
        <v>2025</v>
      </c>
    </row>
    <row r="630" spans="1:9" x14ac:dyDescent="0.25">
      <c r="A630" s="44" t="str">
        <f t="shared" si="19"/>
        <v>237Abril2025</v>
      </c>
      <c r="B630" s="44">
        <v>14</v>
      </c>
      <c r="C630" s="44">
        <v>237</v>
      </c>
      <c r="D630" s="51" t="s">
        <v>31</v>
      </c>
      <c r="E630" s="44">
        <v>4258</v>
      </c>
      <c r="F630" s="44">
        <v>4784</v>
      </c>
      <c r="G630" s="52">
        <f t="shared" si="20"/>
        <v>0.89005016722408026</v>
      </c>
      <c r="H630" s="44" t="s">
        <v>43</v>
      </c>
      <c r="I630" s="44">
        <v>2025</v>
      </c>
    </row>
    <row r="631" spans="1:9" x14ac:dyDescent="0.25">
      <c r="A631" s="44" t="str">
        <f t="shared" si="19"/>
        <v>11116Abril2025</v>
      </c>
      <c r="B631" s="44">
        <v>15</v>
      </c>
      <c r="C631" s="44">
        <v>11116</v>
      </c>
      <c r="D631" s="51" t="s">
        <v>28</v>
      </c>
      <c r="E631" s="44">
        <v>7641</v>
      </c>
      <c r="F631" s="44">
        <v>8774</v>
      </c>
      <c r="G631" s="52">
        <f t="shared" si="20"/>
        <v>0.87086847503989062</v>
      </c>
      <c r="H631" s="44" t="s">
        <v>43</v>
      </c>
      <c r="I631" s="44">
        <v>2025</v>
      </c>
    </row>
    <row r="632" spans="1:9" x14ac:dyDescent="0.25">
      <c r="A632" s="44" t="str">
        <f t="shared" si="19"/>
        <v>11931Abril2025</v>
      </c>
      <c r="B632" s="44">
        <v>16</v>
      </c>
      <c r="C632" s="44">
        <v>11931</v>
      </c>
      <c r="D632" s="51" t="s">
        <v>39</v>
      </c>
      <c r="E632" s="44">
        <v>1748</v>
      </c>
      <c r="F632" s="44">
        <v>2002</v>
      </c>
      <c r="G632" s="52">
        <f t="shared" si="20"/>
        <v>0.87312687312687309</v>
      </c>
      <c r="H632" s="44" t="s">
        <v>43</v>
      </c>
      <c r="I632" s="44">
        <v>2025</v>
      </c>
    </row>
    <row r="633" spans="1:9" x14ac:dyDescent="0.25">
      <c r="A633" s="44" t="str">
        <f t="shared" si="19"/>
        <v>234Abril2025</v>
      </c>
      <c r="B633" s="44">
        <v>17</v>
      </c>
      <c r="C633" s="44">
        <v>234</v>
      </c>
      <c r="D633" s="51" t="s">
        <v>18</v>
      </c>
      <c r="E633" s="44">
        <v>3967</v>
      </c>
      <c r="F633" s="44">
        <v>4610</v>
      </c>
      <c r="G633" s="52">
        <f t="shared" si="20"/>
        <v>0.86052060737527114</v>
      </c>
      <c r="H633" s="44" t="s">
        <v>43</v>
      </c>
      <c r="I633" s="44">
        <v>2025</v>
      </c>
    </row>
    <row r="634" spans="1:9" x14ac:dyDescent="0.25">
      <c r="A634" s="44" t="str">
        <f t="shared" si="19"/>
        <v>10904Abril2025</v>
      </c>
      <c r="B634" s="44">
        <v>18</v>
      </c>
      <c r="C634" s="44">
        <v>10904</v>
      </c>
      <c r="D634" s="51" t="s">
        <v>29</v>
      </c>
      <c r="E634" s="44">
        <v>1129</v>
      </c>
      <c r="F634" s="44">
        <v>1336</v>
      </c>
      <c r="G634" s="52">
        <f t="shared" si="20"/>
        <v>0.84505988023952094</v>
      </c>
      <c r="H634" s="44" t="s">
        <v>43</v>
      </c>
      <c r="I634" s="44">
        <v>2025</v>
      </c>
    </row>
    <row r="635" spans="1:9" x14ac:dyDescent="0.25">
      <c r="A635" s="44" t="str">
        <f t="shared" si="19"/>
        <v>1557Abril2025</v>
      </c>
      <c r="B635" s="44">
        <v>19</v>
      </c>
      <c r="C635" s="44">
        <v>1557</v>
      </c>
      <c r="D635" s="51" t="s">
        <v>12</v>
      </c>
      <c r="E635" s="44">
        <v>1393</v>
      </c>
      <c r="F635" s="44">
        <v>1662</v>
      </c>
      <c r="G635" s="52">
        <f t="shared" si="20"/>
        <v>0.83814681107099875</v>
      </c>
      <c r="H635" s="44" t="s">
        <v>43</v>
      </c>
      <c r="I635" s="44">
        <v>2025</v>
      </c>
    </row>
    <row r="636" spans="1:9" x14ac:dyDescent="0.25">
      <c r="A636" s="44" t="str">
        <f t="shared" si="19"/>
        <v>235Abril2025</v>
      </c>
      <c r="B636" s="44">
        <v>20</v>
      </c>
      <c r="C636" s="44">
        <v>235</v>
      </c>
      <c r="D636" s="51" t="s">
        <v>33</v>
      </c>
      <c r="E636" s="44">
        <v>1416</v>
      </c>
      <c r="F636" s="44">
        <v>1873</v>
      </c>
      <c r="G636" s="52">
        <f t="shared" si="20"/>
        <v>0.75600640683395626</v>
      </c>
      <c r="H636" s="44" t="s">
        <v>43</v>
      </c>
      <c r="I636" s="44">
        <v>2025</v>
      </c>
    </row>
    <row r="637" spans="1:9" x14ac:dyDescent="0.25">
      <c r="A637" s="44" t="str">
        <f t="shared" si="19"/>
        <v>243Abril2025</v>
      </c>
      <c r="B637" s="44">
        <v>21</v>
      </c>
      <c r="C637" s="44">
        <v>243</v>
      </c>
      <c r="D637" s="51" t="s">
        <v>34</v>
      </c>
      <c r="E637" s="44">
        <v>2769</v>
      </c>
      <c r="F637" s="44">
        <v>3637</v>
      </c>
      <c r="G637" s="52">
        <f t="shared" si="20"/>
        <v>0.76134176519109154</v>
      </c>
      <c r="H637" s="44" t="s">
        <v>43</v>
      </c>
      <c r="I637" s="44">
        <v>2025</v>
      </c>
    </row>
    <row r="638" spans="1:9" x14ac:dyDescent="0.25">
      <c r="A638" s="44" t="str">
        <f t="shared" si="19"/>
        <v>28745Abril2025</v>
      </c>
      <c r="B638" s="44">
        <v>22</v>
      </c>
      <c r="C638" s="44">
        <v>28745</v>
      </c>
      <c r="D638" s="51" t="s">
        <v>6</v>
      </c>
      <c r="E638" s="44">
        <v>457</v>
      </c>
      <c r="F638" s="44">
        <v>625</v>
      </c>
      <c r="G638" s="52">
        <f t="shared" si="20"/>
        <v>0.73119999999999996</v>
      </c>
      <c r="H638" s="44" t="s">
        <v>43</v>
      </c>
      <c r="I638" s="44">
        <v>2025</v>
      </c>
    </row>
    <row r="639" spans="1:9" x14ac:dyDescent="0.25">
      <c r="A639" s="44" t="str">
        <f t="shared" si="19"/>
        <v>246Abril2025</v>
      </c>
      <c r="B639" s="44">
        <v>23</v>
      </c>
      <c r="C639" s="44">
        <v>246</v>
      </c>
      <c r="D639" s="51" t="s">
        <v>9</v>
      </c>
      <c r="E639" s="44">
        <v>785</v>
      </c>
      <c r="F639" s="44">
        <v>3054</v>
      </c>
      <c r="G639" s="52">
        <f t="shared" si="20"/>
        <v>0.25703994760969223</v>
      </c>
      <c r="H639" s="44" t="s">
        <v>43</v>
      </c>
      <c r="I639" s="44">
        <v>2025</v>
      </c>
    </row>
    <row r="640" spans="1:9" x14ac:dyDescent="0.25">
      <c r="A640" s="44" t="str">
        <f t="shared" si="19"/>
        <v>12165Mayo2025</v>
      </c>
      <c r="B640" s="44">
        <v>1</v>
      </c>
      <c r="C640" s="44">
        <v>12165</v>
      </c>
      <c r="D640" s="51" t="s">
        <v>66</v>
      </c>
      <c r="E640" s="44">
        <v>784</v>
      </c>
      <c r="F640" s="44">
        <v>786</v>
      </c>
      <c r="G640" s="52">
        <f t="shared" si="20"/>
        <v>0.99745547073791352</v>
      </c>
      <c r="H640" s="44" t="s">
        <v>44</v>
      </c>
      <c r="I640" s="44">
        <v>2025</v>
      </c>
    </row>
    <row r="641" spans="1:9" x14ac:dyDescent="0.25">
      <c r="A641" s="44" t="str">
        <f t="shared" si="19"/>
        <v>12163Mayo2025</v>
      </c>
      <c r="B641" s="44">
        <v>2</v>
      </c>
      <c r="C641" s="44">
        <v>12163</v>
      </c>
      <c r="D641" s="51" t="s">
        <v>67</v>
      </c>
      <c r="E641" s="44">
        <v>1307</v>
      </c>
      <c r="F641" s="44">
        <v>1315</v>
      </c>
      <c r="G641" s="52">
        <f t="shared" si="20"/>
        <v>0.99391634980988597</v>
      </c>
      <c r="H641" s="44" t="s">
        <v>44</v>
      </c>
      <c r="I641" s="44">
        <v>2025</v>
      </c>
    </row>
    <row r="642" spans="1:9" x14ac:dyDescent="0.25">
      <c r="A642" s="44" t="str">
        <f t="shared" ref="A642:A705" si="21">C642&amp;H642&amp;I642</f>
        <v>241Mayo2025</v>
      </c>
      <c r="B642" s="44">
        <v>3</v>
      </c>
      <c r="C642" s="44">
        <v>241</v>
      </c>
      <c r="D642" s="51" t="s">
        <v>30</v>
      </c>
      <c r="E642" s="44">
        <v>1436</v>
      </c>
      <c r="F642" s="44">
        <v>1454</v>
      </c>
      <c r="G642" s="52">
        <f t="shared" si="20"/>
        <v>0.98762035763411282</v>
      </c>
      <c r="H642" s="44" t="s">
        <v>44</v>
      </c>
      <c r="I642" s="44">
        <v>2025</v>
      </c>
    </row>
    <row r="643" spans="1:9" x14ac:dyDescent="0.25">
      <c r="A643" s="44" t="str">
        <f t="shared" si="21"/>
        <v>11799Mayo2025</v>
      </c>
      <c r="B643" s="44">
        <v>4</v>
      </c>
      <c r="C643" s="44">
        <v>11799</v>
      </c>
      <c r="D643" s="51" t="s">
        <v>21</v>
      </c>
      <c r="E643" s="44">
        <v>1564</v>
      </c>
      <c r="F643" s="44">
        <v>1598</v>
      </c>
      <c r="G643" s="52">
        <f t="shared" si="20"/>
        <v>0.97872340425531912</v>
      </c>
      <c r="H643" s="44" t="s">
        <v>44</v>
      </c>
      <c r="I643" s="44">
        <v>2025</v>
      </c>
    </row>
    <row r="644" spans="1:9" x14ac:dyDescent="0.25">
      <c r="A644" s="44" t="str">
        <f t="shared" si="21"/>
        <v>235Mayo2025</v>
      </c>
      <c r="B644" s="44">
        <v>5</v>
      </c>
      <c r="C644" s="44">
        <v>235</v>
      </c>
      <c r="D644" s="51" t="s">
        <v>33</v>
      </c>
      <c r="E644" s="44">
        <v>1672</v>
      </c>
      <c r="F644" s="44">
        <v>1706</v>
      </c>
      <c r="G644" s="52">
        <f t="shared" si="20"/>
        <v>0.98007033997655335</v>
      </c>
      <c r="H644" s="44" t="s">
        <v>44</v>
      </c>
      <c r="I644" s="44">
        <v>2025</v>
      </c>
    </row>
    <row r="645" spans="1:9" x14ac:dyDescent="0.25">
      <c r="A645" s="44" t="str">
        <f t="shared" si="21"/>
        <v>236Mayo2025</v>
      </c>
      <c r="B645" s="44">
        <v>6</v>
      </c>
      <c r="C645" s="44">
        <v>236</v>
      </c>
      <c r="D645" s="51" t="s">
        <v>25</v>
      </c>
      <c r="E645" s="44">
        <v>3584</v>
      </c>
      <c r="F645" s="44">
        <v>3674</v>
      </c>
      <c r="G645" s="52">
        <f t="shared" si="20"/>
        <v>0.97550353837778991</v>
      </c>
      <c r="H645" s="44" t="s">
        <v>44</v>
      </c>
      <c r="I645" s="44">
        <v>2025</v>
      </c>
    </row>
    <row r="646" spans="1:9" x14ac:dyDescent="0.25">
      <c r="A646" s="44" t="str">
        <f t="shared" si="21"/>
        <v>11117Mayo2025</v>
      </c>
      <c r="B646" s="44">
        <v>7</v>
      </c>
      <c r="C646" s="44">
        <v>11117</v>
      </c>
      <c r="D646" s="51" t="s">
        <v>15</v>
      </c>
      <c r="E646" s="44">
        <v>6811</v>
      </c>
      <c r="F646" s="44">
        <v>7066</v>
      </c>
      <c r="G646" s="52">
        <f t="shared" si="20"/>
        <v>0.96391168978205488</v>
      </c>
      <c r="H646" s="44" t="s">
        <v>44</v>
      </c>
      <c r="I646" s="44">
        <v>2025</v>
      </c>
    </row>
    <row r="647" spans="1:9" x14ac:dyDescent="0.25">
      <c r="A647" s="44" t="str">
        <f t="shared" si="21"/>
        <v>1557Mayo2025</v>
      </c>
      <c r="B647" s="44">
        <v>8</v>
      </c>
      <c r="C647" s="44">
        <v>1557</v>
      </c>
      <c r="D647" s="51" t="s">
        <v>12</v>
      </c>
      <c r="E647" s="44">
        <v>1413</v>
      </c>
      <c r="F647" s="44">
        <v>1487</v>
      </c>
      <c r="G647" s="52">
        <f t="shared" si="20"/>
        <v>0.95023537323470075</v>
      </c>
      <c r="H647" s="44" t="s">
        <v>44</v>
      </c>
      <c r="I647" s="44">
        <v>2025</v>
      </c>
    </row>
    <row r="648" spans="1:9" x14ac:dyDescent="0.25">
      <c r="A648" s="44" t="str">
        <f t="shared" si="21"/>
        <v>234Mayo2025</v>
      </c>
      <c r="B648" s="44">
        <v>9</v>
      </c>
      <c r="C648" s="44">
        <v>234</v>
      </c>
      <c r="D648" s="51" t="s">
        <v>18</v>
      </c>
      <c r="E648" s="44">
        <v>4015</v>
      </c>
      <c r="F648" s="44">
        <v>4229</v>
      </c>
      <c r="G648" s="52">
        <f t="shared" si="20"/>
        <v>0.94939702057223929</v>
      </c>
      <c r="H648" s="44" t="s">
        <v>44</v>
      </c>
      <c r="I648" s="44">
        <v>2025</v>
      </c>
    </row>
    <row r="649" spans="1:9" x14ac:dyDescent="0.25">
      <c r="A649" s="44" t="str">
        <f t="shared" si="21"/>
        <v>10904Mayo2025</v>
      </c>
      <c r="B649" s="44">
        <v>10</v>
      </c>
      <c r="C649" s="44">
        <v>10904</v>
      </c>
      <c r="D649" s="51" t="s">
        <v>29</v>
      </c>
      <c r="E649" s="44">
        <v>1381</v>
      </c>
      <c r="F649" s="44">
        <v>1472</v>
      </c>
      <c r="G649" s="52">
        <f t="shared" si="20"/>
        <v>0.93817934782608692</v>
      </c>
      <c r="H649" s="44" t="s">
        <v>44</v>
      </c>
      <c r="I649" s="44">
        <v>2025</v>
      </c>
    </row>
    <row r="650" spans="1:9" x14ac:dyDescent="0.25">
      <c r="A650" s="44" t="str">
        <f t="shared" si="21"/>
        <v>238Mayo2025</v>
      </c>
      <c r="B650" s="44">
        <v>11</v>
      </c>
      <c r="C650" s="44">
        <v>238</v>
      </c>
      <c r="D650" s="51" t="s">
        <v>35</v>
      </c>
      <c r="E650" s="44">
        <v>1535</v>
      </c>
      <c r="F650" s="44">
        <v>1627</v>
      </c>
      <c r="G650" s="52">
        <f t="shared" si="20"/>
        <v>0.94345421020282727</v>
      </c>
      <c r="H650" s="44" t="s">
        <v>44</v>
      </c>
      <c r="I650" s="44">
        <v>2025</v>
      </c>
    </row>
    <row r="651" spans="1:9" x14ac:dyDescent="0.25">
      <c r="A651" s="44" t="str">
        <f t="shared" si="21"/>
        <v>239Mayo2025</v>
      </c>
      <c r="B651" s="44">
        <v>12</v>
      </c>
      <c r="C651" s="44">
        <v>239</v>
      </c>
      <c r="D651" s="51" t="s">
        <v>32</v>
      </c>
      <c r="E651" s="44">
        <v>3186</v>
      </c>
      <c r="F651" s="44">
        <v>3381</v>
      </c>
      <c r="G651" s="52">
        <f t="shared" si="20"/>
        <v>0.94232475598935228</v>
      </c>
      <c r="H651" s="44" t="s">
        <v>44</v>
      </c>
      <c r="I651" s="44">
        <v>2025</v>
      </c>
    </row>
    <row r="652" spans="1:9" x14ac:dyDescent="0.25">
      <c r="A652" s="44" t="str">
        <f t="shared" si="21"/>
        <v>11882Mayo2025</v>
      </c>
      <c r="B652" s="44">
        <v>13</v>
      </c>
      <c r="C652" s="44">
        <v>11882</v>
      </c>
      <c r="D652" s="51" t="s">
        <v>22</v>
      </c>
      <c r="E652" s="44">
        <v>1091</v>
      </c>
      <c r="F652" s="44">
        <v>1170</v>
      </c>
      <c r="G652" s="52">
        <f t="shared" si="20"/>
        <v>0.9324786324786325</v>
      </c>
      <c r="H652" s="44" t="s">
        <v>44</v>
      </c>
      <c r="I652" s="44">
        <v>2025</v>
      </c>
    </row>
    <row r="653" spans="1:9" x14ac:dyDescent="0.25">
      <c r="A653" s="44" t="str">
        <f t="shared" si="21"/>
        <v>240Mayo2025</v>
      </c>
      <c r="B653" s="44">
        <v>14</v>
      </c>
      <c r="C653" s="44">
        <v>240</v>
      </c>
      <c r="D653" s="51" t="s">
        <v>23</v>
      </c>
      <c r="E653" s="44">
        <v>2443</v>
      </c>
      <c r="F653" s="44">
        <v>2630</v>
      </c>
      <c r="G653" s="52">
        <f t="shared" si="20"/>
        <v>0.92889733840304178</v>
      </c>
      <c r="H653" s="44" t="s">
        <v>44</v>
      </c>
      <c r="I653" s="44">
        <v>2025</v>
      </c>
    </row>
    <row r="654" spans="1:9" x14ac:dyDescent="0.25">
      <c r="A654" s="44" t="str">
        <f t="shared" si="21"/>
        <v>12166Mayo2025</v>
      </c>
      <c r="B654" s="44">
        <v>15</v>
      </c>
      <c r="C654" s="44">
        <v>12166</v>
      </c>
      <c r="D654" s="51" t="s">
        <v>65</v>
      </c>
      <c r="E654" s="44">
        <v>1652</v>
      </c>
      <c r="F654" s="44">
        <v>1807</v>
      </c>
      <c r="G654" s="52">
        <f t="shared" si="20"/>
        <v>0.91422246817930275</v>
      </c>
      <c r="H654" s="44" t="s">
        <v>44</v>
      </c>
      <c r="I654" s="44">
        <v>2025</v>
      </c>
    </row>
    <row r="655" spans="1:9" x14ac:dyDescent="0.25">
      <c r="A655" s="44" t="str">
        <f t="shared" si="21"/>
        <v>10951Mayo2025</v>
      </c>
      <c r="B655" s="44">
        <v>16</v>
      </c>
      <c r="C655" s="44">
        <v>10951</v>
      </c>
      <c r="D655" s="51" t="s">
        <v>24</v>
      </c>
      <c r="E655" s="44">
        <v>1229</v>
      </c>
      <c r="F655" s="44">
        <v>1382</v>
      </c>
      <c r="G655" s="52">
        <f t="shared" si="20"/>
        <v>0.88929088277858181</v>
      </c>
      <c r="H655" s="44" t="s">
        <v>44</v>
      </c>
      <c r="I655" s="44">
        <v>2025</v>
      </c>
    </row>
    <row r="656" spans="1:9" x14ac:dyDescent="0.25">
      <c r="A656" s="44" t="str">
        <f t="shared" si="21"/>
        <v>242Mayo2025</v>
      </c>
      <c r="B656" s="44">
        <v>17</v>
      </c>
      <c r="C656" s="44">
        <v>242</v>
      </c>
      <c r="D656" s="51" t="s">
        <v>7</v>
      </c>
      <c r="E656" s="44">
        <v>1741</v>
      </c>
      <c r="F656" s="44">
        <v>1946</v>
      </c>
      <c r="G656" s="52">
        <f t="shared" si="20"/>
        <v>0.89465570400822203</v>
      </c>
      <c r="H656" s="44" t="s">
        <v>44</v>
      </c>
      <c r="I656" s="44">
        <v>2025</v>
      </c>
    </row>
    <row r="657" spans="1:9" x14ac:dyDescent="0.25">
      <c r="A657" s="44" t="str">
        <f t="shared" si="21"/>
        <v>11931Mayo2025</v>
      </c>
      <c r="B657" s="44">
        <v>18</v>
      </c>
      <c r="C657" s="44">
        <v>11931</v>
      </c>
      <c r="D657" s="51" t="s">
        <v>39</v>
      </c>
      <c r="E657" s="44">
        <v>1529</v>
      </c>
      <c r="F657" s="44">
        <v>1808</v>
      </c>
      <c r="G657" s="52">
        <f t="shared" si="20"/>
        <v>0.8456858407079646</v>
      </c>
      <c r="H657" s="44" t="s">
        <v>44</v>
      </c>
      <c r="I657" s="44">
        <v>2025</v>
      </c>
    </row>
    <row r="658" spans="1:9" x14ac:dyDescent="0.25">
      <c r="A658" s="44" t="str">
        <f t="shared" si="21"/>
        <v>237Mayo2025</v>
      </c>
      <c r="B658" s="44">
        <v>19</v>
      </c>
      <c r="C658" s="44">
        <v>237</v>
      </c>
      <c r="D658" s="51" t="s">
        <v>31</v>
      </c>
      <c r="E658" s="44">
        <v>3503</v>
      </c>
      <c r="F658" s="44">
        <v>4283</v>
      </c>
      <c r="G658" s="52">
        <f t="shared" si="20"/>
        <v>0.81788466028484708</v>
      </c>
      <c r="H658" s="44" t="s">
        <v>44</v>
      </c>
      <c r="I658" s="44">
        <v>2025</v>
      </c>
    </row>
    <row r="659" spans="1:9" x14ac:dyDescent="0.25">
      <c r="A659" s="44" t="str">
        <f t="shared" si="21"/>
        <v>11116Mayo2025</v>
      </c>
      <c r="B659" s="44">
        <v>20</v>
      </c>
      <c r="C659" s="44">
        <v>11116</v>
      </c>
      <c r="D659" s="51" t="s">
        <v>28</v>
      </c>
      <c r="E659" s="44">
        <v>7628</v>
      </c>
      <c r="F659" s="44">
        <v>9495</v>
      </c>
      <c r="G659" s="52">
        <f t="shared" si="20"/>
        <v>0.80337019483938921</v>
      </c>
      <c r="H659" s="44" t="s">
        <v>44</v>
      </c>
      <c r="I659" s="44">
        <v>2025</v>
      </c>
    </row>
    <row r="660" spans="1:9" x14ac:dyDescent="0.25">
      <c r="A660" s="44" t="str">
        <f t="shared" si="21"/>
        <v>243Mayo2025</v>
      </c>
      <c r="B660" s="44">
        <v>21</v>
      </c>
      <c r="C660" s="44">
        <v>243</v>
      </c>
      <c r="D660" s="51" t="s">
        <v>34</v>
      </c>
      <c r="E660" s="44">
        <v>2259</v>
      </c>
      <c r="F660" s="44">
        <v>3081</v>
      </c>
      <c r="G660" s="52">
        <f t="shared" si="20"/>
        <v>0.73320350535540413</v>
      </c>
      <c r="H660" s="44" t="s">
        <v>44</v>
      </c>
      <c r="I660" s="44">
        <v>2025</v>
      </c>
    </row>
    <row r="661" spans="1:9" x14ac:dyDescent="0.25">
      <c r="A661" s="44" t="str">
        <f t="shared" si="21"/>
        <v>246Mayo2025</v>
      </c>
      <c r="B661" s="44">
        <v>22</v>
      </c>
      <c r="C661" s="44">
        <v>246</v>
      </c>
      <c r="D661" s="51" t="s">
        <v>9</v>
      </c>
      <c r="E661" s="44">
        <v>1833</v>
      </c>
      <c r="F661" s="44">
        <v>3234</v>
      </c>
      <c r="G661" s="52">
        <f t="shared" si="20"/>
        <v>0.56679035250463827</v>
      </c>
      <c r="H661" s="44" t="s">
        <v>44</v>
      </c>
      <c r="I661" s="44">
        <v>2025</v>
      </c>
    </row>
    <row r="662" spans="1:9" x14ac:dyDescent="0.25">
      <c r="A662" s="44" t="str">
        <f t="shared" si="21"/>
        <v>28745Mayo2025</v>
      </c>
      <c r="B662" s="44">
        <v>23</v>
      </c>
      <c r="C662" s="44">
        <v>28745</v>
      </c>
      <c r="D662" s="51" t="s">
        <v>6</v>
      </c>
      <c r="E662" s="44">
        <v>315</v>
      </c>
      <c r="F662" s="44">
        <v>556</v>
      </c>
      <c r="G662" s="52">
        <f t="shared" si="20"/>
        <v>0.56654676258992809</v>
      </c>
      <c r="H662" s="44" t="s">
        <v>44</v>
      </c>
      <c r="I662" s="44">
        <v>2025</v>
      </c>
    </row>
    <row r="663" spans="1:9" x14ac:dyDescent="0.25">
      <c r="A663" s="44" t="str">
        <f t="shared" si="21"/>
        <v>12165Junio2025</v>
      </c>
      <c r="B663" s="44">
        <v>1</v>
      </c>
      <c r="C663" s="44">
        <v>12165</v>
      </c>
      <c r="D663" s="51" t="s">
        <v>66</v>
      </c>
      <c r="E663" s="44">
        <v>707</v>
      </c>
      <c r="F663" s="44">
        <v>707</v>
      </c>
      <c r="G663" s="52">
        <f t="shared" si="20"/>
        <v>1</v>
      </c>
      <c r="H663" s="44" t="s">
        <v>45</v>
      </c>
      <c r="I663" s="44">
        <v>2025</v>
      </c>
    </row>
    <row r="664" spans="1:9" x14ac:dyDescent="0.25">
      <c r="A664" s="44" t="str">
        <f t="shared" si="21"/>
        <v>11799Junio2025</v>
      </c>
      <c r="B664" s="44">
        <v>2</v>
      </c>
      <c r="C664" s="44">
        <v>11799</v>
      </c>
      <c r="D664" s="51" t="s">
        <v>21</v>
      </c>
      <c r="E664" s="44">
        <v>1284</v>
      </c>
      <c r="F664" s="44">
        <v>1304</v>
      </c>
      <c r="G664" s="52">
        <f t="shared" si="20"/>
        <v>0.98466257668711654</v>
      </c>
      <c r="H664" s="44" t="s">
        <v>45</v>
      </c>
      <c r="I664" s="44">
        <v>2025</v>
      </c>
    </row>
    <row r="665" spans="1:9" x14ac:dyDescent="0.25">
      <c r="A665" s="44" t="str">
        <f t="shared" si="21"/>
        <v>236Junio2025</v>
      </c>
      <c r="B665" s="44">
        <v>3</v>
      </c>
      <c r="C665" s="44">
        <v>236</v>
      </c>
      <c r="D665" s="51" t="s">
        <v>25</v>
      </c>
      <c r="E665" s="44">
        <v>3938</v>
      </c>
      <c r="F665" s="44">
        <v>3998</v>
      </c>
      <c r="G665" s="52">
        <f t="shared" si="20"/>
        <v>0.98499249624812402</v>
      </c>
      <c r="H665" s="44" t="s">
        <v>45</v>
      </c>
      <c r="I665" s="44">
        <v>2025</v>
      </c>
    </row>
    <row r="666" spans="1:9" x14ac:dyDescent="0.25">
      <c r="A666" s="44" t="str">
        <f t="shared" si="21"/>
        <v>241Junio2025</v>
      </c>
      <c r="B666" s="44">
        <v>4</v>
      </c>
      <c r="C666" s="44">
        <v>241</v>
      </c>
      <c r="D666" s="51" t="s">
        <v>30</v>
      </c>
      <c r="E666" s="44">
        <v>1114</v>
      </c>
      <c r="F666" s="44">
        <v>1136</v>
      </c>
      <c r="G666" s="52">
        <f t="shared" si="20"/>
        <v>0.98063380281690138</v>
      </c>
      <c r="H666" s="44" t="s">
        <v>45</v>
      </c>
      <c r="I666" s="44">
        <v>2025</v>
      </c>
    </row>
    <row r="667" spans="1:9" x14ac:dyDescent="0.25">
      <c r="A667" s="44" t="str">
        <f t="shared" si="21"/>
        <v>12163Junio2025</v>
      </c>
      <c r="B667" s="44">
        <v>5</v>
      </c>
      <c r="C667" s="44">
        <v>12163</v>
      </c>
      <c r="D667" s="51" t="s">
        <v>67</v>
      </c>
      <c r="E667" s="44">
        <v>1436</v>
      </c>
      <c r="F667" s="44">
        <v>1494</v>
      </c>
      <c r="G667" s="52">
        <f t="shared" si="20"/>
        <v>0.96117804551539487</v>
      </c>
      <c r="H667" s="44" t="s">
        <v>45</v>
      </c>
      <c r="I667" s="44">
        <v>2025</v>
      </c>
    </row>
    <row r="668" spans="1:9" x14ac:dyDescent="0.25">
      <c r="A668" s="44" t="str">
        <f t="shared" si="21"/>
        <v>239Junio2025</v>
      </c>
      <c r="B668" s="44">
        <v>6</v>
      </c>
      <c r="C668" s="44">
        <v>239</v>
      </c>
      <c r="D668" s="51" t="s">
        <v>32</v>
      </c>
      <c r="E668" s="44">
        <v>3155</v>
      </c>
      <c r="F668" s="44">
        <v>3337</v>
      </c>
      <c r="G668" s="52">
        <f t="shared" si="20"/>
        <v>0.94545999400659275</v>
      </c>
      <c r="H668" s="44" t="s">
        <v>45</v>
      </c>
      <c r="I668" s="44">
        <v>2025</v>
      </c>
    </row>
    <row r="669" spans="1:9" x14ac:dyDescent="0.25">
      <c r="A669" s="44" t="str">
        <f t="shared" si="21"/>
        <v>11117Junio2025</v>
      </c>
      <c r="B669" s="44">
        <v>7</v>
      </c>
      <c r="C669" s="44">
        <v>11117</v>
      </c>
      <c r="D669" s="51" t="s">
        <v>15</v>
      </c>
      <c r="E669" s="44">
        <v>5422</v>
      </c>
      <c r="F669" s="44">
        <v>5784</v>
      </c>
      <c r="G669" s="52">
        <f t="shared" si="20"/>
        <v>0.93741355463347165</v>
      </c>
      <c r="H669" s="44" t="s">
        <v>45</v>
      </c>
      <c r="I669" s="44">
        <v>2025</v>
      </c>
    </row>
    <row r="670" spans="1:9" x14ac:dyDescent="0.25">
      <c r="A670" s="44" t="str">
        <f t="shared" si="21"/>
        <v>234Junio2025</v>
      </c>
      <c r="B670" s="44">
        <v>8</v>
      </c>
      <c r="C670" s="44">
        <v>234</v>
      </c>
      <c r="D670" s="51" t="s">
        <v>18</v>
      </c>
      <c r="E670" s="44">
        <v>3463</v>
      </c>
      <c r="F670" s="44">
        <v>3687</v>
      </c>
      <c r="G670" s="52">
        <f t="shared" si="20"/>
        <v>0.9392459994575536</v>
      </c>
      <c r="H670" s="44" t="s">
        <v>45</v>
      </c>
      <c r="I670" s="44">
        <v>2025</v>
      </c>
    </row>
    <row r="671" spans="1:9" x14ac:dyDescent="0.25">
      <c r="A671" s="44" t="str">
        <f t="shared" si="21"/>
        <v>235Junio2025</v>
      </c>
      <c r="B671" s="44">
        <v>9</v>
      </c>
      <c r="C671" s="44">
        <v>235</v>
      </c>
      <c r="D671" s="51" t="s">
        <v>33</v>
      </c>
      <c r="E671" s="44">
        <v>1579</v>
      </c>
      <c r="F671" s="44">
        <v>1676</v>
      </c>
      <c r="G671" s="52">
        <f t="shared" si="20"/>
        <v>0.94212410501193322</v>
      </c>
      <c r="H671" s="44" t="s">
        <v>45</v>
      </c>
      <c r="I671" s="44">
        <v>2025</v>
      </c>
    </row>
    <row r="672" spans="1:9" x14ac:dyDescent="0.25">
      <c r="A672" s="44" t="str">
        <f t="shared" si="21"/>
        <v>240Junio2025</v>
      </c>
      <c r="B672" s="44">
        <v>10</v>
      </c>
      <c r="C672" s="44">
        <v>240</v>
      </c>
      <c r="D672" s="51" t="s">
        <v>23</v>
      </c>
      <c r="E672" s="44">
        <v>2620</v>
      </c>
      <c r="F672" s="44">
        <v>2787</v>
      </c>
      <c r="G672" s="52">
        <f t="shared" si="20"/>
        <v>0.94007893792608543</v>
      </c>
      <c r="H672" s="44" t="s">
        <v>45</v>
      </c>
      <c r="I672" s="44">
        <v>2025</v>
      </c>
    </row>
    <row r="673" spans="1:9" x14ac:dyDescent="0.25">
      <c r="A673" s="44" t="str">
        <f t="shared" si="21"/>
        <v>242Junio2025</v>
      </c>
      <c r="B673" s="44">
        <v>11</v>
      </c>
      <c r="C673" s="44">
        <v>242</v>
      </c>
      <c r="D673" s="51" t="s">
        <v>7</v>
      </c>
      <c r="E673" s="44">
        <v>1522</v>
      </c>
      <c r="F673" s="44">
        <v>1614</v>
      </c>
      <c r="G673" s="52">
        <f t="shared" si="20"/>
        <v>0.94299876084262702</v>
      </c>
      <c r="H673" s="44" t="s">
        <v>45</v>
      </c>
      <c r="I673" s="44">
        <v>2025</v>
      </c>
    </row>
    <row r="674" spans="1:9" x14ac:dyDescent="0.25">
      <c r="A674" s="44" t="str">
        <f t="shared" si="21"/>
        <v>1557Junio2025</v>
      </c>
      <c r="B674" s="44">
        <v>12</v>
      </c>
      <c r="C674" s="44">
        <v>1557</v>
      </c>
      <c r="D674" s="51" t="s">
        <v>12</v>
      </c>
      <c r="E674" s="44">
        <v>1116</v>
      </c>
      <c r="F674" s="44">
        <v>1233</v>
      </c>
      <c r="G674" s="52">
        <f t="shared" si="20"/>
        <v>0.9051094890510949</v>
      </c>
      <c r="H674" s="44" t="s">
        <v>45</v>
      </c>
      <c r="I674" s="44">
        <v>2025</v>
      </c>
    </row>
    <row r="675" spans="1:9" x14ac:dyDescent="0.25">
      <c r="A675" s="44" t="str">
        <f t="shared" si="21"/>
        <v>238Junio2025</v>
      </c>
      <c r="B675" s="44">
        <v>13</v>
      </c>
      <c r="C675" s="44">
        <v>238</v>
      </c>
      <c r="D675" s="51" t="s">
        <v>35</v>
      </c>
      <c r="E675" s="44">
        <v>1694</v>
      </c>
      <c r="F675" s="44">
        <v>1931</v>
      </c>
      <c r="G675" s="52">
        <f t="shared" si="20"/>
        <v>0.87726566545831175</v>
      </c>
      <c r="H675" s="44" t="s">
        <v>45</v>
      </c>
      <c r="I675" s="44">
        <v>2025</v>
      </c>
    </row>
    <row r="676" spans="1:9" x14ac:dyDescent="0.25">
      <c r="A676" s="44" t="str">
        <f t="shared" si="21"/>
        <v>10904Junio2025</v>
      </c>
      <c r="B676" s="44">
        <v>14</v>
      </c>
      <c r="C676" s="44">
        <v>10904</v>
      </c>
      <c r="D676" s="51" t="s">
        <v>29</v>
      </c>
      <c r="E676" s="44">
        <v>1262</v>
      </c>
      <c r="F676" s="44">
        <v>1525</v>
      </c>
      <c r="G676" s="52">
        <f t="shared" si="20"/>
        <v>0.82754098360655737</v>
      </c>
      <c r="H676" s="44" t="s">
        <v>45</v>
      </c>
      <c r="I676" s="44">
        <v>2025</v>
      </c>
    </row>
    <row r="677" spans="1:9" x14ac:dyDescent="0.25">
      <c r="A677" s="44" t="str">
        <f t="shared" si="21"/>
        <v>11116Junio2025</v>
      </c>
      <c r="B677" s="44">
        <v>15</v>
      </c>
      <c r="C677" s="44">
        <v>11116</v>
      </c>
      <c r="D677" s="51" t="s">
        <v>28</v>
      </c>
      <c r="E677" s="44">
        <v>7764</v>
      </c>
      <c r="F677" s="44">
        <v>9453</v>
      </c>
      <c r="G677" s="52">
        <f t="shared" si="20"/>
        <v>0.82132656299587437</v>
      </c>
      <c r="H677" s="44" t="s">
        <v>45</v>
      </c>
      <c r="I677" s="44">
        <v>2025</v>
      </c>
    </row>
    <row r="678" spans="1:9" x14ac:dyDescent="0.25">
      <c r="A678" s="44" t="str">
        <f t="shared" si="21"/>
        <v>11931Junio2025</v>
      </c>
      <c r="B678" s="44">
        <v>16</v>
      </c>
      <c r="C678" s="44">
        <v>11931</v>
      </c>
      <c r="D678" s="51" t="s">
        <v>39</v>
      </c>
      <c r="E678" s="44">
        <v>1548</v>
      </c>
      <c r="F678" s="44">
        <v>1913</v>
      </c>
      <c r="G678" s="52">
        <f t="shared" ref="G678:G686" si="22">E678/F678</f>
        <v>0.80920020909566126</v>
      </c>
      <c r="H678" s="44" t="s">
        <v>45</v>
      </c>
      <c r="I678" s="44">
        <v>2025</v>
      </c>
    </row>
    <row r="679" spans="1:9" x14ac:dyDescent="0.25">
      <c r="A679" s="44" t="str">
        <f t="shared" si="21"/>
        <v>11882Junio2025</v>
      </c>
      <c r="B679" s="44">
        <v>17</v>
      </c>
      <c r="C679" s="44">
        <v>11882</v>
      </c>
      <c r="D679" s="51" t="s">
        <v>22</v>
      </c>
      <c r="E679" s="44">
        <v>874</v>
      </c>
      <c r="F679" s="44">
        <v>1093</v>
      </c>
      <c r="G679" s="52">
        <f t="shared" si="22"/>
        <v>0.79963403476669714</v>
      </c>
      <c r="H679" s="44" t="s">
        <v>45</v>
      </c>
      <c r="I679" s="44">
        <v>2025</v>
      </c>
    </row>
    <row r="680" spans="1:9" x14ac:dyDescent="0.25">
      <c r="A680" s="44" t="str">
        <f t="shared" si="21"/>
        <v>12166Junio2025</v>
      </c>
      <c r="B680" s="44">
        <v>18</v>
      </c>
      <c r="C680" s="44">
        <v>12166</v>
      </c>
      <c r="D680" s="51" t="s">
        <v>65</v>
      </c>
      <c r="E680" s="44">
        <v>1252</v>
      </c>
      <c r="F680" s="44">
        <v>1590</v>
      </c>
      <c r="G680" s="52">
        <f t="shared" si="22"/>
        <v>0.78742138364779879</v>
      </c>
      <c r="H680" s="44" t="s">
        <v>45</v>
      </c>
      <c r="I680" s="44">
        <v>2025</v>
      </c>
    </row>
    <row r="681" spans="1:9" x14ac:dyDescent="0.25">
      <c r="A681" s="44" t="str">
        <f t="shared" si="21"/>
        <v>243Junio2025</v>
      </c>
      <c r="B681" s="44">
        <v>19</v>
      </c>
      <c r="C681" s="44">
        <v>243</v>
      </c>
      <c r="D681" s="51" t="s">
        <v>34</v>
      </c>
      <c r="E681" s="44">
        <v>2508</v>
      </c>
      <c r="F681" s="44">
        <v>3486</v>
      </c>
      <c r="G681" s="52">
        <f t="shared" si="22"/>
        <v>0.71944922547332191</v>
      </c>
      <c r="H681" s="44" t="s">
        <v>45</v>
      </c>
      <c r="I681" s="44">
        <v>2025</v>
      </c>
    </row>
    <row r="682" spans="1:9" x14ac:dyDescent="0.25">
      <c r="A682" s="44" t="str">
        <f t="shared" si="21"/>
        <v>10951Junio2025</v>
      </c>
      <c r="B682" s="44">
        <v>20</v>
      </c>
      <c r="C682" s="44">
        <v>10951</v>
      </c>
      <c r="D682" s="51" t="s">
        <v>24</v>
      </c>
      <c r="E682" s="44">
        <v>899</v>
      </c>
      <c r="F682" s="44">
        <v>1319</v>
      </c>
      <c r="G682" s="52">
        <f t="shared" si="22"/>
        <v>0.6815769522365428</v>
      </c>
      <c r="H682" s="44" t="s">
        <v>45</v>
      </c>
      <c r="I682" s="44">
        <v>2025</v>
      </c>
    </row>
    <row r="683" spans="1:9" x14ac:dyDescent="0.25">
      <c r="A683" s="44" t="str">
        <f t="shared" si="21"/>
        <v>237Junio2025</v>
      </c>
      <c r="B683" s="44">
        <v>21</v>
      </c>
      <c r="C683" s="44">
        <v>237</v>
      </c>
      <c r="D683" s="51" t="s">
        <v>31</v>
      </c>
      <c r="E683" s="44">
        <v>3159</v>
      </c>
      <c r="F683" s="44">
        <v>4659</v>
      </c>
      <c r="G683" s="52">
        <f t="shared" si="22"/>
        <v>0.67804249839021247</v>
      </c>
      <c r="H683" s="44" t="s">
        <v>45</v>
      </c>
      <c r="I683" s="44">
        <v>2025</v>
      </c>
    </row>
    <row r="684" spans="1:9" x14ac:dyDescent="0.25">
      <c r="A684" s="44" t="str">
        <f t="shared" si="21"/>
        <v>28745Junio2025</v>
      </c>
      <c r="B684" s="44">
        <v>22</v>
      </c>
      <c r="C684" s="44">
        <v>28745</v>
      </c>
      <c r="D684" s="51" t="s">
        <v>6</v>
      </c>
      <c r="E684" s="44">
        <v>252</v>
      </c>
      <c r="F684" s="44">
        <v>379</v>
      </c>
      <c r="G684" s="52">
        <f t="shared" si="22"/>
        <v>0.66490765171503963</v>
      </c>
      <c r="H684" s="44" t="s">
        <v>45</v>
      </c>
      <c r="I684" s="44">
        <v>2025</v>
      </c>
    </row>
    <row r="685" spans="1:9" x14ac:dyDescent="0.25">
      <c r="A685" s="44" t="str">
        <f t="shared" si="21"/>
        <v>246Junio2025</v>
      </c>
      <c r="B685" s="44">
        <v>23</v>
      </c>
      <c r="C685" s="44">
        <v>246</v>
      </c>
      <c r="D685" s="51" t="s">
        <v>9</v>
      </c>
      <c r="E685" s="44">
        <v>1204</v>
      </c>
      <c r="F685" s="44">
        <v>2346</v>
      </c>
      <c r="G685" s="52">
        <f t="shared" si="22"/>
        <v>0.51321398124467177</v>
      </c>
      <c r="H685" s="44" t="s">
        <v>45</v>
      </c>
      <c r="I685" s="44">
        <v>2025</v>
      </c>
    </row>
    <row r="686" spans="1:9" x14ac:dyDescent="0.25">
      <c r="A686" s="44" t="str">
        <f t="shared" si="21"/>
        <v>241Julio2025</v>
      </c>
      <c r="B686" s="44">
        <v>1</v>
      </c>
      <c r="C686" s="44">
        <v>241</v>
      </c>
      <c r="D686" s="51" t="s">
        <v>30</v>
      </c>
      <c r="E686" s="44">
        <v>249</v>
      </c>
      <c r="F686" s="44">
        <v>249</v>
      </c>
      <c r="G686" s="52">
        <f t="shared" si="22"/>
        <v>1</v>
      </c>
      <c r="H686" s="44" t="s">
        <v>46</v>
      </c>
      <c r="I686" s="44">
        <v>2025</v>
      </c>
    </row>
    <row r="687" spans="1:9" x14ac:dyDescent="0.25">
      <c r="A687" s="44" t="str">
        <f t="shared" si="21"/>
        <v>12165Julio2025</v>
      </c>
      <c r="B687" s="44">
        <v>2</v>
      </c>
      <c r="C687" s="44">
        <v>12165</v>
      </c>
      <c r="D687" s="51" t="s">
        <v>66</v>
      </c>
      <c r="E687" s="44">
        <v>886</v>
      </c>
      <c r="F687" s="44">
        <v>894</v>
      </c>
      <c r="G687" s="52">
        <f t="shared" ref="G687:G709" si="23">E687/F687</f>
        <v>0.99105145413870244</v>
      </c>
      <c r="H687" s="44" t="s">
        <v>46</v>
      </c>
      <c r="I687" s="44">
        <v>2025</v>
      </c>
    </row>
    <row r="688" spans="1:9" x14ac:dyDescent="0.25">
      <c r="A688" s="44" t="str">
        <f t="shared" si="21"/>
        <v>12163Julio2025</v>
      </c>
      <c r="B688" s="44">
        <v>3</v>
      </c>
      <c r="C688" s="44">
        <v>12163</v>
      </c>
      <c r="D688" s="51" t="s">
        <v>67</v>
      </c>
      <c r="E688" s="44">
        <v>1602</v>
      </c>
      <c r="F688" s="44">
        <v>1643</v>
      </c>
      <c r="G688" s="52">
        <f t="shared" si="23"/>
        <v>0.9750456482045039</v>
      </c>
      <c r="H688" s="44" t="s">
        <v>46</v>
      </c>
      <c r="I688" s="44">
        <v>2025</v>
      </c>
    </row>
    <row r="689" spans="1:9" x14ac:dyDescent="0.25">
      <c r="A689" s="44" t="str">
        <f t="shared" si="21"/>
        <v>235Julio2025</v>
      </c>
      <c r="B689" s="44">
        <v>4</v>
      </c>
      <c r="C689" s="44">
        <v>235</v>
      </c>
      <c r="D689" s="51" t="s">
        <v>33</v>
      </c>
      <c r="E689" s="44">
        <v>1477</v>
      </c>
      <c r="F689" s="44">
        <v>1503</v>
      </c>
      <c r="G689" s="52">
        <f t="shared" si="23"/>
        <v>0.98270126413838987</v>
      </c>
      <c r="H689" s="44" t="s">
        <v>46</v>
      </c>
      <c r="I689" s="44">
        <v>2025</v>
      </c>
    </row>
    <row r="690" spans="1:9" x14ac:dyDescent="0.25">
      <c r="A690" s="44" t="str">
        <f t="shared" si="21"/>
        <v>11117Julio2025</v>
      </c>
      <c r="B690" s="44">
        <v>5</v>
      </c>
      <c r="C690" s="44">
        <v>11117</v>
      </c>
      <c r="D690" s="51" t="s">
        <v>15</v>
      </c>
      <c r="E690" s="44">
        <v>6605</v>
      </c>
      <c r="F690" s="44">
        <v>6796</v>
      </c>
      <c r="G690" s="52">
        <f t="shared" si="23"/>
        <v>0.97189523248969978</v>
      </c>
      <c r="H690" s="44" t="s">
        <v>46</v>
      </c>
      <c r="I690" s="44">
        <v>2025</v>
      </c>
    </row>
    <row r="691" spans="1:9" x14ac:dyDescent="0.25">
      <c r="A691" s="44" t="str">
        <f t="shared" si="21"/>
        <v>234Julio2025</v>
      </c>
      <c r="B691" s="44">
        <v>6</v>
      </c>
      <c r="C691" s="44">
        <v>234</v>
      </c>
      <c r="D691" s="51" t="s">
        <v>18</v>
      </c>
      <c r="E691" s="44">
        <v>3324</v>
      </c>
      <c r="F691" s="44">
        <v>3422</v>
      </c>
      <c r="G691" s="52">
        <f t="shared" si="23"/>
        <v>0.97136177673874924</v>
      </c>
      <c r="H691" s="44" t="s">
        <v>46</v>
      </c>
      <c r="I691" s="44">
        <v>2025</v>
      </c>
    </row>
    <row r="692" spans="1:9" x14ac:dyDescent="0.25">
      <c r="A692" s="44" t="str">
        <f t="shared" si="21"/>
        <v>11882Julio2025</v>
      </c>
      <c r="B692" s="44">
        <v>7</v>
      </c>
      <c r="C692" s="44">
        <v>11882</v>
      </c>
      <c r="D692" s="51" t="s">
        <v>22</v>
      </c>
      <c r="E692" s="44">
        <v>1185</v>
      </c>
      <c r="F692" s="44">
        <v>1236</v>
      </c>
      <c r="G692" s="52">
        <f t="shared" si="23"/>
        <v>0.95873786407766992</v>
      </c>
      <c r="H692" s="44" t="s">
        <v>46</v>
      </c>
      <c r="I692" s="44">
        <v>2025</v>
      </c>
    </row>
    <row r="693" spans="1:9" x14ac:dyDescent="0.25">
      <c r="A693" s="44" t="str">
        <f t="shared" si="21"/>
        <v>238Julio2025</v>
      </c>
      <c r="B693" s="44">
        <v>8</v>
      </c>
      <c r="C693" s="44">
        <v>238</v>
      </c>
      <c r="D693" s="51" t="s">
        <v>35</v>
      </c>
      <c r="E693" s="44">
        <v>1778</v>
      </c>
      <c r="F693" s="44">
        <v>1874</v>
      </c>
      <c r="G693" s="52">
        <f t="shared" si="23"/>
        <v>0.94877267876200644</v>
      </c>
      <c r="H693" s="44" t="s">
        <v>46</v>
      </c>
      <c r="I693" s="44">
        <v>2025</v>
      </c>
    </row>
    <row r="694" spans="1:9" x14ac:dyDescent="0.25">
      <c r="A694" s="44" t="str">
        <f t="shared" si="21"/>
        <v>242Julio2025</v>
      </c>
      <c r="B694" s="44">
        <v>9</v>
      </c>
      <c r="C694" s="44">
        <v>242</v>
      </c>
      <c r="D694" s="51" t="s">
        <v>7</v>
      </c>
      <c r="E694" s="44">
        <v>1569</v>
      </c>
      <c r="F694" s="44">
        <v>1650</v>
      </c>
      <c r="G694" s="52">
        <f t="shared" si="23"/>
        <v>0.95090909090909093</v>
      </c>
      <c r="H694" s="44" t="s">
        <v>46</v>
      </c>
      <c r="I694" s="44">
        <v>2025</v>
      </c>
    </row>
    <row r="695" spans="1:9" x14ac:dyDescent="0.25">
      <c r="A695" s="44" t="str">
        <f t="shared" si="21"/>
        <v>239Julio2025</v>
      </c>
      <c r="B695" s="44">
        <v>10</v>
      </c>
      <c r="C695" s="44">
        <v>239</v>
      </c>
      <c r="D695" s="51" t="s">
        <v>32</v>
      </c>
      <c r="E695" s="44">
        <v>1715</v>
      </c>
      <c r="F695" s="44">
        <v>1867</v>
      </c>
      <c r="G695" s="52">
        <f t="shared" si="23"/>
        <v>0.91858596679164439</v>
      </c>
      <c r="H695" s="44" t="s">
        <v>46</v>
      </c>
      <c r="I695" s="44">
        <v>2025</v>
      </c>
    </row>
    <row r="696" spans="1:9" x14ac:dyDescent="0.25">
      <c r="A696" s="44" t="str">
        <f t="shared" si="21"/>
        <v>10904Julio2025</v>
      </c>
      <c r="B696" s="44">
        <v>11</v>
      </c>
      <c r="C696" s="44">
        <v>10904</v>
      </c>
      <c r="D696" s="51" t="s">
        <v>29</v>
      </c>
      <c r="E696" s="44">
        <v>952</v>
      </c>
      <c r="F696" s="44">
        <v>1055</v>
      </c>
      <c r="G696" s="52">
        <f t="shared" si="23"/>
        <v>0.90236966824644549</v>
      </c>
      <c r="H696" s="44" t="s">
        <v>46</v>
      </c>
      <c r="I696" s="44">
        <v>2025</v>
      </c>
    </row>
    <row r="697" spans="1:9" x14ac:dyDescent="0.25">
      <c r="A697" s="44" t="str">
        <f t="shared" si="21"/>
        <v>236Julio2025</v>
      </c>
      <c r="B697" s="44">
        <v>12</v>
      </c>
      <c r="C697" s="44">
        <v>236</v>
      </c>
      <c r="D697" s="51" t="s">
        <v>25</v>
      </c>
      <c r="E697" s="44">
        <v>2631</v>
      </c>
      <c r="F697" s="44">
        <v>2917</v>
      </c>
      <c r="G697" s="52">
        <f t="shared" si="23"/>
        <v>0.90195406239286935</v>
      </c>
      <c r="H697" s="44" t="s">
        <v>46</v>
      </c>
      <c r="I697" s="44">
        <v>2025</v>
      </c>
    </row>
    <row r="698" spans="1:9" x14ac:dyDescent="0.25">
      <c r="A698" s="44" t="str">
        <f t="shared" si="21"/>
        <v>240Julio2025</v>
      </c>
      <c r="B698" s="44">
        <v>13</v>
      </c>
      <c r="C698" s="44">
        <v>240</v>
      </c>
      <c r="D698" s="51" t="s">
        <v>23</v>
      </c>
      <c r="E698" s="44">
        <v>2682</v>
      </c>
      <c r="F698" s="44">
        <v>3014</v>
      </c>
      <c r="G698" s="52">
        <f t="shared" si="23"/>
        <v>0.88984737889847376</v>
      </c>
      <c r="H698" s="44" t="s">
        <v>46</v>
      </c>
      <c r="I698" s="44">
        <v>2025</v>
      </c>
    </row>
    <row r="699" spans="1:9" x14ac:dyDescent="0.25">
      <c r="A699" s="44" t="str">
        <f t="shared" si="21"/>
        <v>243Julio2025</v>
      </c>
      <c r="B699" s="44">
        <v>14</v>
      </c>
      <c r="C699" s="44">
        <v>243</v>
      </c>
      <c r="D699" s="51" t="s">
        <v>34</v>
      </c>
      <c r="E699" s="44">
        <v>2418</v>
      </c>
      <c r="F699" s="44">
        <v>2778</v>
      </c>
      <c r="G699" s="52">
        <f t="shared" si="23"/>
        <v>0.87041036717062636</v>
      </c>
      <c r="H699" s="44" t="s">
        <v>46</v>
      </c>
      <c r="I699" s="44">
        <v>2025</v>
      </c>
    </row>
    <row r="700" spans="1:9" x14ac:dyDescent="0.25">
      <c r="A700" s="44" t="str">
        <f t="shared" si="21"/>
        <v>11799Julio2025</v>
      </c>
      <c r="B700" s="44">
        <v>15</v>
      </c>
      <c r="C700" s="44">
        <v>11799</v>
      </c>
      <c r="D700" s="51" t="s">
        <v>21</v>
      </c>
      <c r="E700" s="44">
        <v>1322</v>
      </c>
      <c r="F700" s="44">
        <v>1543</v>
      </c>
      <c r="G700" s="52">
        <f t="shared" si="23"/>
        <v>0.8567725210628645</v>
      </c>
      <c r="H700" s="44" t="s">
        <v>46</v>
      </c>
      <c r="I700" s="44">
        <v>2025</v>
      </c>
    </row>
    <row r="701" spans="1:9" x14ac:dyDescent="0.25">
      <c r="A701" s="44" t="str">
        <f t="shared" si="21"/>
        <v>11931Julio2025</v>
      </c>
      <c r="B701" s="44">
        <v>16</v>
      </c>
      <c r="C701" s="44">
        <v>11931</v>
      </c>
      <c r="D701" s="51" t="s">
        <v>39</v>
      </c>
      <c r="E701" s="44">
        <v>1711</v>
      </c>
      <c r="F701" s="44">
        <v>2021</v>
      </c>
      <c r="G701" s="52">
        <f t="shared" si="23"/>
        <v>0.84661058881741713</v>
      </c>
      <c r="H701" s="44" t="s">
        <v>46</v>
      </c>
      <c r="I701" s="44">
        <v>2025</v>
      </c>
    </row>
    <row r="702" spans="1:9" x14ac:dyDescent="0.25">
      <c r="A702" s="44" t="str">
        <f t="shared" si="21"/>
        <v>11116Julio2025</v>
      </c>
      <c r="B702" s="44">
        <v>17</v>
      </c>
      <c r="C702" s="44">
        <v>11116</v>
      </c>
      <c r="D702" s="51" t="s">
        <v>28</v>
      </c>
      <c r="E702" s="44">
        <v>8044</v>
      </c>
      <c r="F702" s="44">
        <v>9694</v>
      </c>
      <c r="G702" s="52">
        <f t="shared" si="23"/>
        <v>0.82979162368475345</v>
      </c>
      <c r="H702" s="44" t="s">
        <v>46</v>
      </c>
      <c r="I702" s="44">
        <v>2025</v>
      </c>
    </row>
    <row r="703" spans="1:9" x14ac:dyDescent="0.25">
      <c r="A703" s="44" t="str">
        <f t="shared" si="21"/>
        <v>28745Julio2025</v>
      </c>
      <c r="B703" s="44">
        <v>18</v>
      </c>
      <c r="C703" s="44">
        <v>28745</v>
      </c>
      <c r="D703" s="51" t="s">
        <v>6</v>
      </c>
      <c r="E703" s="44">
        <v>444</v>
      </c>
      <c r="F703" s="44">
        <v>537</v>
      </c>
      <c r="G703" s="52">
        <f t="shared" si="23"/>
        <v>0.82681564245810057</v>
      </c>
      <c r="H703" s="44" t="s">
        <v>46</v>
      </c>
      <c r="I703" s="44">
        <v>2025</v>
      </c>
    </row>
    <row r="704" spans="1:9" x14ac:dyDescent="0.25">
      <c r="A704" s="44" t="str">
        <f t="shared" si="21"/>
        <v>10951Julio2025</v>
      </c>
      <c r="B704" s="44">
        <v>19</v>
      </c>
      <c r="C704" s="44">
        <v>10951</v>
      </c>
      <c r="D704" s="51" t="s">
        <v>24</v>
      </c>
      <c r="E704" s="44">
        <v>1362</v>
      </c>
      <c r="F704" s="44">
        <v>1668</v>
      </c>
      <c r="G704" s="52">
        <f t="shared" si="23"/>
        <v>0.81654676258992809</v>
      </c>
      <c r="H704" s="44" t="s">
        <v>46</v>
      </c>
      <c r="I704" s="44">
        <v>2025</v>
      </c>
    </row>
    <row r="705" spans="1:9" x14ac:dyDescent="0.25">
      <c r="A705" s="44" t="str">
        <f t="shared" si="21"/>
        <v>237Julio2025</v>
      </c>
      <c r="B705" s="44">
        <v>20</v>
      </c>
      <c r="C705" s="44">
        <v>237</v>
      </c>
      <c r="D705" s="51" t="s">
        <v>31</v>
      </c>
      <c r="E705" s="44">
        <v>3463</v>
      </c>
      <c r="F705" s="44">
        <v>4345</v>
      </c>
      <c r="G705" s="52">
        <f t="shared" si="23"/>
        <v>0.79700805523590335</v>
      </c>
      <c r="H705" s="44" t="s">
        <v>46</v>
      </c>
      <c r="I705" s="44">
        <v>2025</v>
      </c>
    </row>
    <row r="706" spans="1:9" x14ac:dyDescent="0.25">
      <c r="A706" s="44" t="str">
        <f t="shared" ref="A706:A769" si="24">C706&amp;H706&amp;I706</f>
        <v>1557Julio2025</v>
      </c>
      <c r="B706" s="44">
        <v>21</v>
      </c>
      <c r="C706" s="44">
        <v>1557</v>
      </c>
      <c r="D706" s="51" t="s">
        <v>12</v>
      </c>
      <c r="E706" s="44">
        <v>958</v>
      </c>
      <c r="F706" s="44">
        <v>1228</v>
      </c>
      <c r="G706" s="52">
        <f t="shared" si="23"/>
        <v>0.78013029315960913</v>
      </c>
      <c r="H706" s="44" t="s">
        <v>46</v>
      </c>
      <c r="I706" s="44">
        <v>2025</v>
      </c>
    </row>
    <row r="707" spans="1:9" x14ac:dyDescent="0.25">
      <c r="A707" s="44" t="str">
        <f t="shared" si="24"/>
        <v>12166Julio2025</v>
      </c>
      <c r="B707" s="44">
        <v>22</v>
      </c>
      <c r="C707" s="44">
        <v>12166</v>
      </c>
      <c r="D707" s="51" t="s">
        <v>65</v>
      </c>
      <c r="E707" s="44">
        <v>1225</v>
      </c>
      <c r="F707" s="44">
        <v>1828</v>
      </c>
      <c r="G707" s="52">
        <f t="shared" si="23"/>
        <v>0.67013129102844637</v>
      </c>
      <c r="H707" s="44" t="s">
        <v>46</v>
      </c>
      <c r="I707" s="44">
        <v>2025</v>
      </c>
    </row>
    <row r="708" spans="1:9" x14ac:dyDescent="0.25">
      <c r="A708" s="44" t="str">
        <f t="shared" si="24"/>
        <v>246Julio2025</v>
      </c>
      <c r="B708" s="44">
        <v>23</v>
      </c>
      <c r="C708" s="44">
        <v>246</v>
      </c>
      <c r="D708" s="51" t="s">
        <v>9</v>
      </c>
      <c r="E708" s="44">
        <v>1565</v>
      </c>
      <c r="F708" s="44">
        <v>2768</v>
      </c>
      <c r="G708" s="52">
        <f t="shared" si="23"/>
        <v>0.56539017341040465</v>
      </c>
      <c r="H708" s="44" t="s">
        <v>46</v>
      </c>
      <c r="I708" s="44">
        <v>2025</v>
      </c>
    </row>
    <row r="709" spans="1:9" x14ac:dyDescent="0.25">
      <c r="A709" s="44" t="str">
        <f t="shared" si="24"/>
        <v>11882Agosto2025</v>
      </c>
      <c r="B709" s="44">
        <v>1</v>
      </c>
      <c r="C709" s="44">
        <v>11882</v>
      </c>
      <c r="D709" s="51" t="s">
        <v>22</v>
      </c>
      <c r="E709" s="44">
        <v>1036</v>
      </c>
      <c r="F709" s="44">
        <v>1043</v>
      </c>
      <c r="G709" s="52">
        <f t="shared" si="23"/>
        <v>0.99328859060402686</v>
      </c>
      <c r="H709" s="44" t="s">
        <v>47</v>
      </c>
      <c r="I709" s="44">
        <v>2025</v>
      </c>
    </row>
    <row r="710" spans="1:9" x14ac:dyDescent="0.25">
      <c r="A710" s="44" t="str">
        <f t="shared" si="24"/>
        <v>10904Agosto2025</v>
      </c>
      <c r="B710" s="44">
        <v>2</v>
      </c>
      <c r="C710" s="44">
        <v>10904</v>
      </c>
      <c r="D710" s="51" t="s">
        <v>29</v>
      </c>
      <c r="E710" s="44">
        <v>997</v>
      </c>
      <c r="F710" s="44">
        <v>1037</v>
      </c>
      <c r="G710" s="52">
        <f t="shared" ref="G710:G731" si="25">E710/F710</f>
        <v>0.96142719382835107</v>
      </c>
      <c r="H710" s="44" t="s">
        <v>47</v>
      </c>
      <c r="I710" s="44">
        <v>2025</v>
      </c>
    </row>
    <row r="711" spans="1:9" x14ac:dyDescent="0.25">
      <c r="A711" s="44" t="str">
        <f t="shared" si="24"/>
        <v>12163Agosto2025</v>
      </c>
      <c r="B711" s="44">
        <v>3</v>
      </c>
      <c r="C711" s="44">
        <v>12163</v>
      </c>
      <c r="D711" s="51" t="s">
        <v>67</v>
      </c>
      <c r="E711" s="44">
        <v>1228</v>
      </c>
      <c r="F711" s="44">
        <v>1273</v>
      </c>
      <c r="G711" s="52">
        <f t="shared" si="25"/>
        <v>0.9646504320502749</v>
      </c>
      <c r="H711" s="44" t="s">
        <v>47</v>
      </c>
      <c r="I711" s="44">
        <v>2025</v>
      </c>
    </row>
    <row r="712" spans="1:9" x14ac:dyDescent="0.25">
      <c r="A712" s="44" t="str">
        <f t="shared" si="24"/>
        <v>1557Agosto2025</v>
      </c>
      <c r="B712" s="44">
        <v>4</v>
      </c>
      <c r="C712" s="44">
        <v>1557</v>
      </c>
      <c r="D712" s="51" t="s">
        <v>12</v>
      </c>
      <c r="E712" s="44">
        <v>1255</v>
      </c>
      <c r="F712" s="44">
        <v>1303</v>
      </c>
      <c r="G712" s="52">
        <f t="shared" si="25"/>
        <v>0.96316193399846506</v>
      </c>
      <c r="H712" s="44" t="s">
        <v>47</v>
      </c>
      <c r="I712" s="44">
        <v>2025</v>
      </c>
    </row>
    <row r="713" spans="1:9" x14ac:dyDescent="0.25">
      <c r="A713" s="44" t="str">
        <f t="shared" si="24"/>
        <v>234Agosto2025</v>
      </c>
      <c r="B713" s="44">
        <v>5</v>
      </c>
      <c r="C713" s="44">
        <v>234</v>
      </c>
      <c r="D713" s="51" t="s">
        <v>18</v>
      </c>
      <c r="E713" s="44">
        <v>2922</v>
      </c>
      <c r="F713" s="44">
        <v>3032</v>
      </c>
      <c r="G713" s="52">
        <f t="shared" si="25"/>
        <v>0.96372031662269131</v>
      </c>
      <c r="H713" s="44" t="s">
        <v>47</v>
      </c>
      <c r="I713" s="44">
        <v>2025</v>
      </c>
    </row>
    <row r="714" spans="1:9" x14ac:dyDescent="0.25">
      <c r="A714" s="44" t="str">
        <f t="shared" si="24"/>
        <v>240Agosto2025</v>
      </c>
      <c r="B714" s="44">
        <v>6</v>
      </c>
      <c r="C714" s="44">
        <v>240</v>
      </c>
      <c r="D714" s="51" t="s">
        <v>23</v>
      </c>
      <c r="E714" s="44">
        <v>2034</v>
      </c>
      <c r="F714" s="44">
        <v>2122</v>
      </c>
      <c r="G714" s="52">
        <f t="shared" si="25"/>
        <v>0.95852968897266733</v>
      </c>
      <c r="H714" s="44" t="s">
        <v>47</v>
      </c>
      <c r="I714" s="44">
        <v>2025</v>
      </c>
    </row>
    <row r="715" spans="1:9" x14ac:dyDescent="0.25">
      <c r="A715" s="44" t="str">
        <f t="shared" si="24"/>
        <v>28745Agosto2025</v>
      </c>
      <c r="B715" s="44">
        <v>7</v>
      </c>
      <c r="C715" s="44">
        <v>28745</v>
      </c>
      <c r="D715" s="51" t="s">
        <v>6</v>
      </c>
      <c r="E715" s="44">
        <v>480</v>
      </c>
      <c r="F715" s="44">
        <v>498</v>
      </c>
      <c r="G715" s="52">
        <f t="shared" si="25"/>
        <v>0.96385542168674698</v>
      </c>
      <c r="H715" s="44" t="s">
        <v>47</v>
      </c>
      <c r="I715" s="44">
        <v>2025</v>
      </c>
    </row>
    <row r="716" spans="1:9" x14ac:dyDescent="0.25">
      <c r="A716" s="44" t="str">
        <f t="shared" si="24"/>
        <v>11117Agosto2025</v>
      </c>
      <c r="B716" s="44">
        <v>8</v>
      </c>
      <c r="C716" s="44">
        <v>11117</v>
      </c>
      <c r="D716" s="51" t="s">
        <v>15</v>
      </c>
      <c r="E716" s="44">
        <v>4991</v>
      </c>
      <c r="F716" s="44">
        <v>5240</v>
      </c>
      <c r="G716" s="52">
        <f t="shared" si="25"/>
        <v>0.95248091603053431</v>
      </c>
      <c r="H716" s="44" t="s">
        <v>47</v>
      </c>
      <c r="I716" s="44">
        <v>2025</v>
      </c>
    </row>
    <row r="717" spans="1:9" x14ac:dyDescent="0.25">
      <c r="A717" s="44" t="str">
        <f t="shared" si="24"/>
        <v>235Agosto2025</v>
      </c>
      <c r="B717" s="44">
        <v>9</v>
      </c>
      <c r="C717" s="44">
        <v>235</v>
      </c>
      <c r="D717" s="51" t="s">
        <v>33</v>
      </c>
      <c r="E717" s="44">
        <v>1226</v>
      </c>
      <c r="F717" s="44">
        <v>1287</v>
      </c>
      <c r="G717" s="52">
        <f t="shared" si="25"/>
        <v>0.95260295260295258</v>
      </c>
      <c r="H717" s="44" t="s">
        <v>47</v>
      </c>
      <c r="I717" s="44">
        <v>2025</v>
      </c>
    </row>
    <row r="718" spans="1:9" x14ac:dyDescent="0.25">
      <c r="A718" s="44" t="str">
        <f t="shared" si="24"/>
        <v>238Agosto2025</v>
      </c>
      <c r="B718" s="44">
        <v>10</v>
      </c>
      <c r="C718" s="44">
        <v>238</v>
      </c>
      <c r="D718" s="51" t="s">
        <v>35</v>
      </c>
      <c r="E718" s="44">
        <v>1593</v>
      </c>
      <c r="F718" s="44">
        <v>1678</v>
      </c>
      <c r="G718" s="52">
        <f t="shared" si="25"/>
        <v>0.94934445768772346</v>
      </c>
      <c r="H718" s="44" t="s">
        <v>47</v>
      </c>
      <c r="I718" s="44">
        <v>2025</v>
      </c>
    </row>
    <row r="719" spans="1:9" x14ac:dyDescent="0.25">
      <c r="A719" s="44" t="str">
        <f t="shared" si="24"/>
        <v>241Agosto2025</v>
      </c>
      <c r="B719" s="44">
        <v>11</v>
      </c>
      <c r="C719" s="44">
        <v>241</v>
      </c>
      <c r="D719" s="51" t="s">
        <v>30</v>
      </c>
      <c r="E719" s="44">
        <v>765</v>
      </c>
      <c r="F719" s="44">
        <v>807</v>
      </c>
      <c r="G719" s="52">
        <f t="shared" si="25"/>
        <v>0.94795539033457255</v>
      </c>
      <c r="H719" s="44" t="s">
        <v>47</v>
      </c>
      <c r="I719" s="44">
        <v>2025</v>
      </c>
    </row>
    <row r="720" spans="1:9" x14ac:dyDescent="0.25">
      <c r="A720" s="44" t="str">
        <f t="shared" si="24"/>
        <v>236Agosto2025</v>
      </c>
      <c r="B720" s="44">
        <v>12</v>
      </c>
      <c r="C720" s="44">
        <v>236</v>
      </c>
      <c r="D720" s="51" t="s">
        <v>25</v>
      </c>
      <c r="E720" s="44">
        <v>1719</v>
      </c>
      <c r="F720" s="44">
        <v>1837</v>
      </c>
      <c r="G720" s="52">
        <f t="shared" si="25"/>
        <v>0.9357648339684268</v>
      </c>
      <c r="H720" s="44" t="s">
        <v>47</v>
      </c>
      <c r="I720" s="44">
        <v>2025</v>
      </c>
    </row>
    <row r="721" spans="1:9" x14ac:dyDescent="0.25">
      <c r="A721" s="44" t="str">
        <f t="shared" si="24"/>
        <v>11799Agosto2025</v>
      </c>
      <c r="B721" s="44">
        <v>13</v>
      </c>
      <c r="C721" s="44">
        <v>11799</v>
      </c>
      <c r="D721" s="51" t="s">
        <v>21</v>
      </c>
      <c r="E721" s="44">
        <v>1172</v>
      </c>
      <c r="F721" s="44">
        <v>1256</v>
      </c>
      <c r="G721" s="52">
        <f t="shared" si="25"/>
        <v>0.93312101910828027</v>
      </c>
      <c r="H721" s="44" t="s">
        <v>47</v>
      </c>
      <c r="I721" s="44">
        <v>2025</v>
      </c>
    </row>
    <row r="722" spans="1:9" x14ac:dyDescent="0.25">
      <c r="A722" s="44" t="str">
        <f t="shared" si="24"/>
        <v>12165Agosto2025</v>
      </c>
      <c r="B722" s="44">
        <v>14</v>
      </c>
      <c r="C722" s="44">
        <v>12165</v>
      </c>
      <c r="D722" s="51" t="s">
        <v>66</v>
      </c>
      <c r="E722" s="44">
        <v>746</v>
      </c>
      <c r="F722" s="44">
        <v>798</v>
      </c>
      <c r="G722" s="52">
        <f t="shared" si="25"/>
        <v>0.93483709273182958</v>
      </c>
      <c r="H722" s="44" t="s">
        <v>47</v>
      </c>
      <c r="I722" s="44">
        <v>2025</v>
      </c>
    </row>
    <row r="723" spans="1:9" x14ac:dyDescent="0.25">
      <c r="A723" s="44" t="str">
        <f t="shared" si="24"/>
        <v>10951Agosto2025</v>
      </c>
      <c r="B723" s="44">
        <v>15</v>
      </c>
      <c r="C723" s="44">
        <v>10951</v>
      </c>
      <c r="D723" s="51" t="s">
        <v>24</v>
      </c>
      <c r="E723" s="44">
        <v>918</v>
      </c>
      <c r="F723" s="44">
        <v>1004</v>
      </c>
      <c r="G723" s="52">
        <f t="shared" si="25"/>
        <v>0.91434262948207168</v>
      </c>
      <c r="H723" s="44" t="s">
        <v>47</v>
      </c>
      <c r="I723" s="44">
        <v>2025</v>
      </c>
    </row>
    <row r="724" spans="1:9" x14ac:dyDescent="0.25">
      <c r="A724" s="44" t="str">
        <f t="shared" si="24"/>
        <v>246Agosto2025</v>
      </c>
      <c r="B724" s="44">
        <v>16</v>
      </c>
      <c r="C724" s="44">
        <v>246</v>
      </c>
      <c r="D724" s="51" t="s">
        <v>9</v>
      </c>
      <c r="E724" s="44">
        <v>2924</v>
      </c>
      <c r="F724" s="44">
        <v>3239</v>
      </c>
      <c r="G724" s="52">
        <f t="shared" si="25"/>
        <v>0.90274776165483173</v>
      </c>
      <c r="H724" s="44" t="s">
        <v>47</v>
      </c>
      <c r="I724" s="44">
        <v>2025</v>
      </c>
    </row>
    <row r="725" spans="1:9" x14ac:dyDescent="0.25">
      <c r="A725" s="44" t="str">
        <f t="shared" si="24"/>
        <v>239Agosto2025</v>
      </c>
      <c r="B725" s="44">
        <v>17</v>
      </c>
      <c r="C725" s="44">
        <v>239</v>
      </c>
      <c r="D725" s="51" t="s">
        <v>32</v>
      </c>
      <c r="E725" s="44">
        <v>2979</v>
      </c>
      <c r="F725" s="44">
        <v>3366</v>
      </c>
      <c r="G725" s="52">
        <f t="shared" si="25"/>
        <v>0.88502673796791442</v>
      </c>
      <c r="H725" s="44" t="s">
        <v>47</v>
      </c>
      <c r="I725" s="44">
        <v>2025</v>
      </c>
    </row>
    <row r="726" spans="1:9" x14ac:dyDescent="0.25">
      <c r="A726" s="44" t="str">
        <f t="shared" si="24"/>
        <v>242Agosto2025</v>
      </c>
      <c r="B726" s="44">
        <v>18</v>
      </c>
      <c r="C726" s="44">
        <v>242</v>
      </c>
      <c r="D726" s="51" t="s">
        <v>7</v>
      </c>
      <c r="E726" s="44">
        <v>1631</v>
      </c>
      <c r="F726" s="44">
        <v>1829</v>
      </c>
      <c r="G726" s="52">
        <f t="shared" si="25"/>
        <v>0.89174412247129575</v>
      </c>
      <c r="H726" s="44" t="s">
        <v>47</v>
      </c>
      <c r="I726" s="44">
        <v>2025</v>
      </c>
    </row>
    <row r="727" spans="1:9" x14ac:dyDescent="0.25">
      <c r="A727" s="44" t="str">
        <f t="shared" si="24"/>
        <v>243Agosto2025</v>
      </c>
      <c r="B727" s="44">
        <v>19</v>
      </c>
      <c r="C727" s="44">
        <v>243</v>
      </c>
      <c r="D727" s="51" t="s">
        <v>34</v>
      </c>
      <c r="E727" s="44">
        <v>2359</v>
      </c>
      <c r="F727" s="44">
        <v>2693</v>
      </c>
      <c r="G727" s="52">
        <f t="shared" si="25"/>
        <v>0.87597474935016706</v>
      </c>
      <c r="H727" s="44" t="s">
        <v>47</v>
      </c>
      <c r="I727" s="44">
        <v>2025</v>
      </c>
    </row>
    <row r="728" spans="1:9" x14ac:dyDescent="0.25">
      <c r="A728" s="44" t="str">
        <f t="shared" si="24"/>
        <v>11931Agosto2025</v>
      </c>
      <c r="B728" s="44">
        <v>20</v>
      </c>
      <c r="C728" s="44">
        <v>11931</v>
      </c>
      <c r="D728" s="51" t="s">
        <v>39</v>
      </c>
      <c r="E728" s="44">
        <v>1622</v>
      </c>
      <c r="F728" s="44">
        <v>1942</v>
      </c>
      <c r="G728" s="52">
        <f t="shared" si="25"/>
        <v>0.83522142121524201</v>
      </c>
      <c r="H728" s="44" t="s">
        <v>47</v>
      </c>
      <c r="I728" s="44">
        <v>2025</v>
      </c>
    </row>
    <row r="729" spans="1:9" x14ac:dyDescent="0.25">
      <c r="A729" s="44" t="str">
        <f t="shared" si="24"/>
        <v>11116Agosto2025</v>
      </c>
      <c r="B729" s="44">
        <v>21</v>
      </c>
      <c r="C729" s="44">
        <v>11116</v>
      </c>
      <c r="D729" s="51" t="s">
        <v>28</v>
      </c>
      <c r="E729" s="44">
        <v>5777</v>
      </c>
      <c r="F729" s="44">
        <v>6955</v>
      </c>
      <c r="G729" s="52">
        <f t="shared" si="25"/>
        <v>0.83062544931703808</v>
      </c>
      <c r="H729" s="44" t="s">
        <v>47</v>
      </c>
      <c r="I729" s="44">
        <v>2025</v>
      </c>
    </row>
    <row r="730" spans="1:9" x14ac:dyDescent="0.25">
      <c r="A730" s="44" t="str">
        <f t="shared" si="24"/>
        <v>12166Agosto2025</v>
      </c>
      <c r="B730" s="44">
        <v>22</v>
      </c>
      <c r="C730" s="44">
        <v>12166</v>
      </c>
      <c r="D730" s="51" t="s">
        <v>65</v>
      </c>
      <c r="E730" s="44">
        <v>1244</v>
      </c>
      <c r="F730" s="44">
        <v>1717</v>
      </c>
      <c r="G730" s="52">
        <f t="shared" si="25"/>
        <v>0.72451951077460686</v>
      </c>
      <c r="H730" s="44" t="s">
        <v>47</v>
      </c>
      <c r="I730" s="44">
        <v>2025</v>
      </c>
    </row>
    <row r="731" spans="1:9" x14ac:dyDescent="0.25">
      <c r="A731" s="44" t="str">
        <f t="shared" si="24"/>
        <v>237Agosto2025</v>
      </c>
      <c r="B731" s="44">
        <v>23</v>
      </c>
      <c r="C731" s="44">
        <v>237</v>
      </c>
      <c r="D731" s="51" t="s">
        <v>31</v>
      </c>
      <c r="E731" s="44">
        <v>2727</v>
      </c>
      <c r="F731" s="44">
        <v>4012</v>
      </c>
      <c r="G731" s="52">
        <f t="shared" si="25"/>
        <v>0.67971086739780662</v>
      </c>
      <c r="H731" s="44" t="s">
        <v>47</v>
      </c>
      <c r="I731" s="44">
        <v>2025</v>
      </c>
    </row>
    <row r="732" spans="1:9" x14ac:dyDescent="0.25">
      <c r="A732" s="44" t="str">
        <f t="shared" si="24"/>
        <v>28745Septiembre2025</v>
      </c>
      <c r="B732" s="44">
        <v>1</v>
      </c>
      <c r="C732" s="44">
        <v>28745</v>
      </c>
      <c r="D732" s="51" t="s">
        <v>6</v>
      </c>
      <c r="E732" s="44">
        <v>487</v>
      </c>
      <c r="F732" s="44">
        <v>487</v>
      </c>
      <c r="G732" s="52">
        <f t="shared" ref="G732" si="26">E732/F732</f>
        <v>1</v>
      </c>
      <c r="H732" s="44" t="s">
        <v>48</v>
      </c>
      <c r="I732" s="44">
        <v>2025</v>
      </c>
    </row>
    <row r="733" spans="1:9" x14ac:dyDescent="0.25">
      <c r="A733" s="44" t="str">
        <f t="shared" si="24"/>
        <v>235Septiembre2025</v>
      </c>
      <c r="B733" s="44">
        <v>2</v>
      </c>
      <c r="C733" s="44">
        <v>235</v>
      </c>
      <c r="D733" s="51" t="s">
        <v>33</v>
      </c>
      <c r="E733" s="44">
        <v>1381</v>
      </c>
      <c r="F733" s="44">
        <v>1396</v>
      </c>
      <c r="G733" s="52">
        <f t="shared" ref="G733:G754" si="27">E733/F733</f>
        <v>0.98925501432664753</v>
      </c>
      <c r="H733" s="44" t="s">
        <v>48</v>
      </c>
      <c r="I733" s="44">
        <v>2025</v>
      </c>
    </row>
    <row r="734" spans="1:9" x14ac:dyDescent="0.25">
      <c r="A734" s="44" t="str">
        <f t="shared" si="24"/>
        <v>12165Septiembre2025</v>
      </c>
      <c r="B734" s="44">
        <v>3</v>
      </c>
      <c r="C734" s="44">
        <v>12165</v>
      </c>
      <c r="D734" s="51" t="s">
        <v>66</v>
      </c>
      <c r="E734" s="44">
        <v>696</v>
      </c>
      <c r="F734" s="44">
        <v>712</v>
      </c>
      <c r="G734" s="52">
        <f t="shared" si="27"/>
        <v>0.97752808988764039</v>
      </c>
      <c r="H734" s="44" t="s">
        <v>48</v>
      </c>
      <c r="I734" s="44">
        <v>2025</v>
      </c>
    </row>
    <row r="735" spans="1:9" x14ac:dyDescent="0.25">
      <c r="A735" s="44" t="str">
        <f t="shared" si="24"/>
        <v>1557Septiembre2025</v>
      </c>
      <c r="B735" s="44">
        <v>4</v>
      </c>
      <c r="C735" s="44">
        <v>1557</v>
      </c>
      <c r="D735" s="51" t="s">
        <v>12</v>
      </c>
      <c r="E735" s="44">
        <v>1275</v>
      </c>
      <c r="F735" s="44">
        <v>1307</v>
      </c>
      <c r="G735" s="52">
        <f t="shared" si="27"/>
        <v>0.97551644988523334</v>
      </c>
      <c r="H735" s="44" t="s">
        <v>48</v>
      </c>
      <c r="I735" s="44">
        <v>2025</v>
      </c>
    </row>
    <row r="736" spans="1:9" x14ac:dyDescent="0.25">
      <c r="A736" s="44" t="str">
        <f t="shared" si="24"/>
        <v>10904Septiembre2025</v>
      </c>
      <c r="B736" s="44">
        <v>5</v>
      </c>
      <c r="C736" s="44">
        <v>10904</v>
      </c>
      <c r="D736" s="51" t="s">
        <v>29</v>
      </c>
      <c r="E736" s="44">
        <v>955</v>
      </c>
      <c r="F736" s="44">
        <v>988</v>
      </c>
      <c r="G736" s="52">
        <f t="shared" si="27"/>
        <v>0.9665991902834008</v>
      </c>
      <c r="H736" s="44" t="s">
        <v>48</v>
      </c>
      <c r="I736" s="44">
        <v>2025</v>
      </c>
    </row>
    <row r="737" spans="1:9" x14ac:dyDescent="0.25">
      <c r="A737" s="44" t="str">
        <f t="shared" si="24"/>
        <v>11799Septiembre2025</v>
      </c>
      <c r="B737" s="44">
        <v>6</v>
      </c>
      <c r="C737" s="44">
        <v>11799</v>
      </c>
      <c r="D737" s="51" t="s">
        <v>21</v>
      </c>
      <c r="E737" s="44">
        <v>911</v>
      </c>
      <c r="F737" s="44">
        <v>938</v>
      </c>
      <c r="G737" s="52">
        <f t="shared" si="27"/>
        <v>0.97121535181236673</v>
      </c>
      <c r="H737" s="44" t="s">
        <v>48</v>
      </c>
      <c r="I737" s="44">
        <v>2025</v>
      </c>
    </row>
    <row r="738" spans="1:9" x14ac:dyDescent="0.25">
      <c r="A738" s="44" t="str">
        <f t="shared" si="24"/>
        <v>234Septiembre2025</v>
      </c>
      <c r="B738" s="44">
        <v>7</v>
      </c>
      <c r="C738" s="44">
        <v>234</v>
      </c>
      <c r="D738" s="51" t="s">
        <v>18</v>
      </c>
      <c r="E738" s="44">
        <v>3278</v>
      </c>
      <c r="F738" s="44">
        <v>3381</v>
      </c>
      <c r="G738" s="52">
        <f t="shared" si="27"/>
        <v>0.96953564034309381</v>
      </c>
      <c r="H738" s="44" t="s">
        <v>48</v>
      </c>
      <c r="I738" s="44">
        <v>2025</v>
      </c>
    </row>
    <row r="739" spans="1:9" x14ac:dyDescent="0.25">
      <c r="A739" s="44" t="str">
        <f t="shared" si="24"/>
        <v>239Septiembre2025</v>
      </c>
      <c r="B739" s="44">
        <v>8</v>
      </c>
      <c r="C739" s="44">
        <v>239</v>
      </c>
      <c r="D739" s="51" t="s">
        <v>32</v>
      </c>
      <c r="E739" s="44">
        <v>2795</v>
      </c>
      <c r="F739" s="44">
        <v>2882</v>
      </c>
      <c r="G739" s="52">
        <f t="shared" si="27"/>
        <v>0.96981263011797358</v>
      </c>
      <c r="H739" s="44" t="s">
        <v>48</v>
      </c>
      <c r="I739" s="44">
        <v>2025</v>
      </c>
    </row>
    <row r="740" spans="1:9" x14ac:dyDescent="0.25">
      <c r="A740" s="44" t="str">
        <f t="shared" si="24"/>
        <v>241Septiembre2025</v>
      </c>
      <c r="B740" s="44">
        <v>9</v>
      </c>
      <c r="C740" s="44">
        <v>241</v>
      </c>
      <c r="D740" s="51" t="s">
        <v>30</v>
      </c>
      <c r="E740" s="44">
        <v>1193</v>
      </c>
      <c r="F740" s="44">
        <v>1229</v>
      </c>
      <c r="G740" s="52">
        <f t="shared" si="27"/>
        <v>0.97070789259560619</v>
      </c>
      <c r="H740" s="44" t="s">
        <v>48</v>
      </c>
      <c r="I740" s="44">
        <v>2025</v>
      </c>
    </row>
    <row r="741" spans="1:9" x14ac:dyDescent="0.25">
      <c r="A741" s="44" t="str">
        <f t="shared" si="24"/>
        <v>11882Septiembre2025</v>
      </c>
      <c r="B741" s="44">
        <v>10</v>
      </c>
      <c r="C741" s="44">
        <v>11882</v>
      </c>
      <c r="D741" s="51" t="s">
        <v>22</v>
      </c>
      <c r="E741" s="44">
        <v>971</v>
      </c>
      <c r="F741" s="44">
        <v>1015</v>
      </c>
      <c r="G741" s="52">
        <f t="shared" si="27"/>
        <v>0.95665024630541873</v>
      </c>
      <c r="H741" s="44" t="s">
        <v>48</v>
      </c>
      <c r="I741" s="44">
        <v>2025</v>
      </c>
    </row>
    <row r="742" spans="1:9" x14ac:dyDescent="0.25">
      <c r="A742" s="44" t="str">
        <f t="shared" si="24"/>
        <v>11117Septiembre2025</v>
      </c>
      <c r="B742" s="44">
        <v>11</v>
      </c>
      <c r="C742" s="44">
        <v>11117</v>
      </c>
      <c r="D742" s="51" t="s">
        <v>15</v>
      </c>
      <c r="E742" s="44">
        <v>6023</v>
      </c>
      <c r="F742" s="44">
        <v>6323</v>
      </c>
      <c r="G742" s="52">
        <f t="shared" si="27"/>
        <v>0.95255416732563658</v>
      </c>
      <c r="H742" s="44" t="s">
        <v>48</v>
      </c>
      <c r="I742" s="44">
        <v>2025</v>
      </c>
    </row>
    <row r="743" spans="1:9" x14ac:dyDescent="0.25">
      <c r="A743" s="44" t="str">
        <f t="shared" si="24"/>
        <v>242Septiembre2025</v>
      </c>
      <c r="B743" s="44">
        <v>12</v>
      </c>
      <c r="C743" s="44">
        <v>242</v>
      </c>
      <c r="D743" s="51" t="s">
        <v>7</v>
      </c>
      <c r="E743" s="44">
        <v>1640</v>
      </c>
      <c r="F743" s="44">
        <v>1729</v>
      </c>
      <c r="G743" s="52">
        <f t="shared" si="27"/>
        <v>0.94852515905147483</v>
      </c>
      <c r="H743" s="44" t="s">
        <v>48</v>
      </c>
      <c r="I743" s="44">
        <v>2025</v>
      </c>
    </row>
    <row r="744" spans="1:9" x14ac:dyDescent="0.25">
      <c r="A744" s="44" t="str">
        <f t="shared" si="24"/>
        <v>246Septiembre2025</v>
      </c>
      <c r="B744" s="44">
        <v>13</v>
      </c>
      <c r="C744" s="44">
        <v>246</v>
      </c>
      <c r="D744" s="51" t="s">
        <v>9</v>
      </c>
      <c r="E744" s="44">
        <v>4425</v>
      </c>
      <c r="F744" s="44">
        <v>4635</v>
      </c>
      <c r="G744" s="52">
        <f t="shared" si="27"/>
        <v>0.95469255663430419</v>
      </c>
      <c r="H744" s="44" t="s">
        <v>48</v>
      </c>
      <c r="I744" s="44">
        <v>2025</v>
      </c>
    </row>
    <row r="745" spans="1:9" x14ac:dyDescent="0.25">
      <c r="A745" s="44" t="str">
        <f t="shared" si="24"/>
        <v>240Septiembre2025</v>
      </c>
      <c r="B745" s="44">
        <v>14</v>
      </c>
      <c r="C745" s="44">
        <v>240</v>
      </c>
      <c r="D745" s="51" t="s">
        <v>23</v>
      </c>
      <c r="E745" s="44">
        <v>2431</v>
      </c>
      <c r="F745" s="44">
        <v>2573</v>
      </c>
      <c r="G745" s="52">
        <f t="shared" si="27"/>
        <v>0.94481150408083947</v>
      </c>
      <c r="H745" s="44" t="s">
        <v>48</v>
      </c>
      <c r="I745" s="44">
        <v>2025</v>
      </c>
    </row>
    <row r="746" spans="1:9" x14ac:dyDescent="0.25">
      <c r="A746" s="44" t="str">
        <f t="shared" si="24"/>
        <v>238Septiembre2025</v>
      </c>
      <c r="B746" s="44">
        <v>15</v>
      </c>
      <c r="C746" s="44">
        <v>238</v>
      </c>
      <c r="D746" s="51" t="s">
        <v>35</v>
      </c>
      <c r="E746" s="44">
        <v>2069</v>
      </c>
      <c r="F746" s="44">
        <v>2218</v>
      </c>
      <c r="G746" s="52">
        <f t="shared" si="27"/>
        <v>0.93282236248872863</v>
      </c>
      <c r="H746" s="44" t="s">
        <v>48</v>
      </c>
      <c r="I746" s="44">
        <v>2025</v>
      </c>
    </row>
    <row r="747" spans="1:9" x14ac:dyDescent="0.25">
      <c r="A747" s="44" t="str">
        <f t="shared" si="24"/>
        <v>236Septiembre2025</v>
      </c>
      <c r="B747" s="44">
        <v>16</v>
      </c>
      <c r="C747" s="44">
        <v>236</v>
      </c>
      <c r="D747" s="51" t="s">
        <v>25</v>
      </c>
      <c r="E747" s="44">
        <v>2258</v>
      </c>
      <c r="F747" s="44">
        <v>2490</v>
      </c>
      <c r="G747" s="52">
        <f t="shared" si="27"/>
        <v>0.90682730923694777</v>
      </c>
      <c r="H747" s="44" t="s">
        <v>48</v>
      </c>
      <c r="I747" s="44">
        <v>2025</v>
      </c>
    </row>
    <row r="748" spans="1:9" x14ac:dyDescent="0.25">
      <c r="A748" s="44" t="str">
        <f t="shared" si="24"/>
        <v>10951Septiembre2025</v>
      </c>
      <c r="B748" s="44">
        <v>17</v>
      </c>
      <c r="C748" s="44">
        <v>10951</v>
      </c>
      <c r="D748" s="51" t="s">
        <v>24</v>
      </c>
      <c r="E748" s="44">
        <v>1493</v>
      </c>
      <c r="F748" s="44">
        <v>1663</v>
      </c>
      <c r="G748" s="52">
        <f t="shared" si="27"/>
        <v>0.89777510523150927</v>
      </c>
      <c r="H748" s="44" t="s">
        <v>48</v>
      </c>
      <c r="I748" s="44">
        <v>2025</v>
      </c>
    </row>
    <row r="749" spans="1:9" x14ac:dyDescent="0.25">
      <c r="A749" s="44" t="str">
        <f t="shared" si="24"/>
        <v>11931Septiembre2025</v>
      </c>
      <c r="B749" s="44">
        <v>18</v>
      </c>
      <c r="C749" s="44">
        <v>11931</v>
      </c>
      <c r="D749" s="51" t="s">
        <v>39</v>
      </c>
      <c r="E749" s="44">
        <v>1361</v>
      </c>
      <c r="F749" s="44">
        <v>1524</v>
      </c>
      <c r="G749" s="52">
        <f t="shared" si="27"/>
        <v>0.89304461942257218</v>
      </c>
      <c r="H749" s="44" t="s">
        <v>48</v>
      </c>
      <c r="I749" s="44">
        <v>2025</v>
      </c>
    </row>
    <row r="750" spans="1:9" x14ac:dyDescent="0.25">
      <c r="A750" s="44" t="str">
        <f t="shared" si="24"/>
        <v>12163Septiembre2025</v>
      </c>
      <c r="B750" s="44">
        <v>19</v>
      </c>
      <c r="C750" s="44">
        <v>12163</v>
      </c>
      <c r="D750" s="51" t="s">
        <v>67</v>
      </c>
      <c r="E750" s="44">
        <v>1002</v>
      </c>
      <c r="F750" s="44">
        <v>1146</v>
      </c>
      <c r="G750" s="52">
        <f t="shared" si="27"/>
        <v>0.87434554973821987</v>
      </c>
      <c r="H750" s="44" t="s">
        <v>48</v>
      </c>
      <c r="I750" s="44">
        <v>2025</v>
      </c>
    </row>
    <row r="751" spans="1:9" x14ac:dyDescent="0.25">
      <c r="A751" s="44" t="str">
        <f t="shared" si="24"/>
        <v>11116Septiembre2025</v>
      </c>
      <c r="B751" s="44">
        <v>20</v>
      </c>
      <c r="C751" s="44">
        <v>11116</v>
      </c>
      <c r="D751" s="51" t="s">
        <v>28</v>
      </c>
      <c r="E751" s="44">
        <v>6117</v>
      </c>
      <c r="F751" s="44">
        <v>7077</v>
      </c>
      <c r="G751" s="52">
        <f t="shared" si="27"/>
        <v>0.86434930055108095</v>
      </c>
      <c r="H751" s="44" t="s">
        <v>48</v>
      </c>
      <c r="I751" s="44">
        <v>2025</v>
      </c>
    </row>
    <row r="752" spans="1:9" x14ac:dyDescent="0.25">
      <c r="A752" s="44" t="str">
        <f t="shared" si="24"/>
        <v>243Septiembre2025</v>
      </c>
      <c r="B752" s="44">
        <v>21</v>
      </c>
      <c r="C752" s="44">
        <v>243</v>
      </c>
      <c r="D752" s="51" t="s">
        <v>34</v>
      </c>
      <c r="E752" s="44">
        <v>2399</v>
      </c>
      <c r="F752" s="44">
        <v>2832</v>
      </c>
      <c r="G752" s="52">
        <f t="shared" si="27"/>
        <v>0.84710451977401124</v>
      </c>
      <c r="H752" s="44" t="s">
        <v>48</v>
      </c>
      <c r="I752" s="44">
        <v>2025</v>
      </c>
    </row>
    <row r="753" spans="1:9" x14ac:dyDescent="0.25">
      <c r="A753" s="44" t="str">
        <f t="shared" si="24"/>
        <v>237Septiembre2025</v>
      </c>
      <c r="B753" s="44">
        <v>22</v>
      </c>
      <c r="C753" s="44">
        <v>237</v>
      </c>
      <c r="D753" s="51" t="s">
        <v>31</v>
      </c>
      <c r="E753" s="44">
        <v>3138</v>
      </c>
      <c r="F753" s="44">
        <v>3886</v>
      </c>
      <c r="G753" s="52">
        <f t="shared" si="27"/>
        <v>0.80751415337107568</v>
      </c>
      <c r="H753" s="44" t="s">
        <v>48</v>
      </c>
      <c r="I753" s="44">
        <v>2025</v>
      </c>
    </row>
    <row r="754" spans="1:9" x14ac:dyDescent="0.25">
      <c r="A754" s="44" t="str">
        <f t="shared" si="24"/>
        <v>12166Septiembre2025</v>
      </c>
      <c r="B754" s="44">
        <v>23</v>
      </c>
      <c r="C754" s="44">
        <v>12166</v>
      </c>
      <c r="D754" s="51" t="s">
        <v>65</v>
      </c>
      <c r="E754" s="44">
        <v>770</v>
      </c>
      <c r="F754" s="44">
        <v>1074</v>
      </c>
      <c r="G754" s="52">
        <f t="shared" si="27"/>
        <v>0.71694599627560518</v>
      </c>
      <c r="H754" s="44" t="s">
        <v>48</v>
      </c>
      <c r="I754" s="44">
        <v>2025</v>
      </c>
    </row>
    <row r="755" spans="1:9" x14ac:dyDescent="0.25">
      <c r="A755" s="44" t="str">
        <f t="shared" si="24"/>
        <v>12165Octubre2025</v>
      </c>
      <c r="B755" s="44">
        <v>1</v>
      </c>
      <c r="C755" s="44">
        <v>12165</v>
      </c>
      <c r="D755" s="51" t="s">
        <v>66</v>
      </c>
      <c r="E755" s="44">
        <v>625</v>
      </c>
      <c r="F755" s="44">
        <v>627</v>
      </c>
      <c r="G755" s="52">
        <f t="shared" ref="G755" si="28">E755/F755</f>
        <v>0.99681020733652315</v>
      </c>
      <c r="H755" s="44" t="s">
        <v>49</v>
      </c>
      <c r="I755" s="44">
        <v>2025</v>
      </c>
    </row>
    <row r="756" spans="1:9" x14ac:dyDescent="0.25">
      <c r="A756" s="44" t="str">
        <f t="shared" si="24"/>
        <v>241Octubre2025</v>
      </c>
      <c r="B756" s="44">
        <v>2</v>
      </c>
      <c r="C756" s="44">
        <v>241</v>
      </c>
      <c r="D756" s="51" t="s">
        <v>30</v>
      </c>
      <c r="E756" s="44">
        <v>950</v>
      </c>
      <c r="F756" s="44">
        <v>954</v>
      </c>
      <c r="G756" s="52">
        <f t="shared" ref="G756:G777" si="29">E756/F756</f>
        <v>0.99580712788259962</v>
      </c>
      <c r="H756" s="44" t="s">
        <v>49</v>
      </c>
      <c r="I756" s="44">
        <v>2025</v>
      </c>
    </row>
    <row r="757" spans="1:9" x14ac:dyDescent="0.25">
      <c r="A757" s="44" t="str">
        <f t="shared" si="24"/>
        <v>246Octubre2025</v>
      </c>
      <c r="B757" s="44">
        <v>3</v>
      </c>
      <c r="C757" s="44">
        <v>246</v>
      </c>
      <c r="D757" s="51" t="s">
        <v>9</v>
      </c>
      <c r="E757" s="44">
        <v>2408</v>
      </c>
      <c r="F757" s="44">
        <v>2444</v>
      </c>
      <c r="G757" s="52">
        <f t="shared" si="29"/>
        <v>0.98527004909983629</v>
      </c>
      <c r="H757" s="44" t="s">
        <v>49</v>
      </c>
      <c r="I757" s="44">
        <v>2025</v>
      </c>
    </row>
    <row r="758" spans="1:9" x14ac:dyDescent="0.25">
      <c r="A758" s="44" t="str">
        <f t="shared" si="24"/>
        <v>11117Octubre2025</v>
      </c>
      <c r="B758" s="44">
        <v>4</v>
      </c>
      <c r="C758" s="44">
        <v>11117</v>
      </c>
      <c r="D758" s="51" t="s">
        <v>15</v>
      </c>
      <c r="E758" s="44">
        <v>4578</v>
      </c>
      <c r="F758" s="44">
        <v>4679</v>
      </c>
      <c r="G758" s="52">
        <f t="shared" si="29"/>
        <v>0.97841419106646721</v>
      </c>
      <c r="H758" s="44" t="s">
        <v>49</v>
      </c>
      <c r="I758" s="44">
        <v>2025</v>
      </c>
    </row>
    <row r="759" spans="1:9" x14ac:dyDescent="0.25">
      <c r="A759" s="44" t="str">
        <f t="shared" si="24"/>
        <v>11882Octubre2025</v>
      </c>
      <c r="B759" s="44">
        <v>5</v>
      </c>
      <c r="C759" s="44">
        <v>11882</v>
      </c>
      <c r="D759" s="51" t="s">
        <v>22</v>
      </c>
      <c r="E759" s="44">
        <v>558</v>
      </c>
      <c r="F759" s="44">
        <v>567</v>
      </c>
      <c r="G759" s="52">
        <f t="shared" si="29"/>
        <v>0.98412698412698407</v>
      </c>
      <c r="H759" s="44" t="s">
        <v>49</v>
      </c>
      <c r="I759" s="44">
        <v>2025</v>
      </c>
    </row>
    <row r="760" spans="1:9" x14ac:dyDescent="0.25">
      <c r="A760" s="44" t="str">
        <f t="shared" si="24"/>
        <v>12166Octubre2025</v>
      </c>
      <c r="B760" s="44">
        <v>6</v>
      </c>
      <c r="C760" s="44">
        <v>12166</v>
      </c>
      <c r="D760" s="51" t="s">
        <v>65</v>
      </c>
      <c r="E760" s="44">
        <v>1206</v>
      </c>
      <c r="F760" s="44">
        <v>1234</v>
      </c>
      <c r="G760" s="52">
        <f t="shared" si="29"/>
        <v>0.97730956239870337</v>
      </c>
      <c r="H760" s="44" t="s">
        <v>49</v>
      </c>
      <c r="I760" s="44">
        <v>2025</v>
      </c>
    </row>
    <row r="761" spans="1:9" x14ac:dyDescent="0.25">
      <c r="A761" s="44" t="str">
        <f t="shared" si="24"/>
        <v>1557Octubre2025</v>
      </c>
      <c r="B761" s="44">
        <v>7</v>
      </c>
      <c r="C761" s="44">
        <v>1557</v>
      </c>
      <c r="D761" s="51" t="s">
        <v>12</v>
      </c>
      <c r="E761" s="44">
        <v>1126</v>
      </c>
      <c r="F761" s="44">
        <v>1166</v>
      </c>
      <c r="G761" s="52">
        <f t="shared" si="29"/>
        <v>0.96569468267581471</v>
      </c>
      <c r="H761" s="44" t="s">
        <v>49</v>
      </c>
      <c r="I761" s="44">
        <v>2025</v>
      </c>
    </row>
    <row r="762" spans="1:9" x14ac:dyDescent="0.25">
      <c r="A762" s="44" t="str">
        <f t="shared" si="24"/>
        <v>10904Octubre2025</v>
      </c>
      <c r="B762" s="44">
        <v>8</v>
      </c>
      <c r="C762" s="44">
        <v>10904</v>
      </c>
      <c r="D762" s="51" t="s">
        <v>29</v>
      </c>
      <c r="E762" s="44">
        <v>860</v>
      </c>
      <c r="F762" s="44">
        <v>894</v>
      </c>
      <c r="G762" s="52">
        <f t="shared" si="29"/>
        <v>0.96196868008948544</v>
      </c>
      <c r="H762" s="44" t="s">
        <v>49</v>
      </c>
      <c r="I762" s="44">
        <v>2025</v>
      </c>
    </row>
    <row r="763" spans="1:9" x14ac:dyDescent="0.25">
      <c r="A763" s="44" t="str">
        <f t="shared" si="24"/>
        <v>242Octubre2025</v>
      </c>
      <c r="B763" s="44">
        <v>9</v>
      </c>
      <c r="C763" s="44">
        <v>242</v>
      </c>
      <c r="D763" s="51" t="s">
        <v>7</v>
      </c>
      <c r="E763" s="44">
        <v>1263</v>
      </c>
      <c r="F763" s="44">
        <v>1319</v>
      </c>
      <c r="G763" s="52">
        <f t="shared" si="29"/>
        <v>0.95754359363153907</v>
      </c>
      <c r="H763" s="44" t="s">
        <v>49</v>
      </c>
      <c r="I763" s="44">
        <v>2025</v>
      </c>
    </row>
    <row r="764" spans="1:9" x14ac:dyDescent="0.25">
      <c r="A764" s="44" t="str">
        <f t="shared" si="24"/>
        <v>28745Octubre2025</v>
      </c>
      <c r="B764" s="44">
        <v>10</v>
      </c>
      <c r="C764" s="44">
        <v>28745</v>
      </c>
      <c r="D764" s="51" t="s">
        <v>6</v>
      </c>
      <c r="E764" s="44">
        <v>353</v>
      </c>
      <c r="F764" s="44">
        <v>368</v>
      </c>
      <c r="G764" s="52">
        <f t="shared" si="29"/>
        <v>0.95923913043478259</v>
      </c>
      <c r="H764" s="44" t="s">
        <v>49</v>
      </c>
      <c r="I764" s="44">
        <v>2025</v>
      </c>
    </row>
    <row r="765" spans="1:9" x14ac:dyDescent="0.25">
      <c r="A765" s="44" t="str">
        <f t="shared" si="24"/>
        <v>234Octubre2025</v>
      </c>
      <c r="B765" s="44">
        <v>11</v>
      </c>
      <c r="C765" s="44">
        <v>234</v>
      </c>
      <c r="D765" s="51" t="s">
        <v>18</v>
      </c>
      <c r="E765" s="44">
        <v>3061</v>
      </c>
      <c r="F765" s="44">
        <v>3214</v>
      </c>
      <c r="G765" s="52">
        <f t="shared" si="29"/>
        <v>0.95239576851275665</v>
      </c>
      <c r="H765" s="44" t="s">
        <v>49</v>
      </c>
      <c r="I765" s="44">
        <v>2025</v>
      </c>
    </row>
    <row r="766" spans="1:9" x14ac:dyDescent="0.25">
      <c r="A766" s="44" t="str">
        <f t="shared" si="24"/>
        <v>239Octubre2025</v>
      </c>
      <c r="B766" s="44">
        <v>12</v>
      </c>
      <c r="C766" s="44">
        <v>239</v>
      </c>
      <c r="D766" s="51" t="s">
        <v>32</v>
      </c>
      <c r="E766" s="44">
        <v>2379</v>
      </c>
      <c r="F766" s="44">
        <v>2516</v>
      </c>
      <c r="G766" s="52">
        <f t="shared" si="29"/>
        <v>0.94554848966613669</v>
      </c>
      <c r="H766" s="44" t="s">
        <v>49</v>
      </c>
      <c r="I766" s="44">
        <v>2025</v>
      </c>
    </row>
    <row r="767" spans="1:9" x14ac:dyDescent="0.25">
      <c r="A767" s="44" t="str">
        <f t="shared" si="24"/>
        <v>11931Octubre2025</v>
      </c>
      <c r="B767" s="44">
        <v>13</v>
      </c>
      <c r="C767" s="44">
        <v>11931</v>
      </c>
      <c r="D767" s="51" t="s">
        <v>39</v>
      </c>
      <c r="E767" s="44">
        <v>1132</v>
      </c>
      <c r="F767" s="44">
        <v>1188</v>
      </c>
      <c r="G767" s="52">
        <f t="shared" si="29"/>
        <v>0.95286195286195285</v>
      </c>
      <c r="H767" s="44" t="s">
        <v>49</v>
      </c>
      <c r="I767" s="44">
        <v>2025</v>
      </c>
    </row>
    <row r="768" spans="1:9" x14ac:dyDescent="0.25">
      <c r="A768" s="44" t="str">
        <f t="shared" si="24"/>
        <v>240Octubre2025</v>
      </c>
      <c r="B768" s="44">
        <v>14</v>
      </c>
      <c r="C768" s="44">
        <v>240</v>
      </c>
      <c r="D768" s="51" t="s">
        <v>23</v>
      </c>
      <c r="E768" s="44">
        <v>2122</v>
      </c>
      <c r="F768" s="44">
        <v>2262</v>
      </c>
      <c r="G768" s="52">
        <f t="shared" si="29"/>
        <v>0.93810786914235189</v>
      </c>
      <c r="H768" s="44" t="s">
        <v>49</v>
      </c>
      <c r="I768" s="44">
        <v>2025</v>
      </c>
    </row>
    <row r="769" spans="1:9" x14ac:dyDescent="0.25">
      <c r="A769" s="44" t="str">
        <f t="shared" si="24"/>
        <v>11116Octubre2025</v>
      </c>
      <c r="B769" s="44">
        <v>15</v>
      </c>
      <c r="C769" s="44">
        <v>11116</v>
      </c>
      <c r="D769" s="51" t="s">
        <v>28</v>
      </c>
      <c r="E769" s="44">
        <v>4762</v>
      </c>
      <c r="F769" s="44">
        <v>5111</v>
      </c>
      <c r="G769" s="52">
        <f t="shared" si="29"/>
        <v>0.93171590686754058</v>
      </c>
      <c r="H769" s="44" t="s">
        <v>49</v>
      </c>
      <c r="I769" s="44">
        <v>2025</v>
      </c>
    </row>
    <row r="770" spans="1:9" x14ac:dyDescent="0.25">
      <c r="A770" s="44" t="str">
        <f t="shared" ref="A770:A777" si="30">C770&amp;H770&amp;I770</f>
        <v>235Octubre2025</v>
      </c>
      <c r="B770" s="44">
        <v>16</v>
      </c>
      <c r="C770" s="44">
        <v>235</v>
      </c>
      <c r="D770" s="51" t="s">
        <v>33</v>
      </c>
      <c r="E770" s="44">
        <v>1561</v>
      </c>
      <c r="F770" s="44">
        <v>1689</v>
      </c>
      <c r="G770" s="52">
        <f t="shared" si="29"/>
        <v>0.92421551213735942</v>
      </c>
      <c r="H770" s="44" t="s">
        <v>49</v>
      </c>
      <c r="I770" s="44">
        <v>2025</v>
      </c>
    </row>
    <row r="771" spans="1:9" x14ac:dyDescent="0.25">
      <c r="A771" s="44" t="str">
        <f t="shared" si="30"/>
        <v>238Octubre2025</v>
      </c>
      <c r="B771" s="44">
        <v>17</v>
      </c>
      <c r="C771" s="44">
        <v>238</v>
      </c>
      <c r="D771" s="51" t="s">
        <v>35</v>
      </c>
      <c r="E771" s="44">
        <v>1157</v>
      </c>
      <c r="F771" s="44">
        <v>1269</v>
      </c>
      <c r="G771" s="52">
        <f t="shared" si="29"/>
        <v>0.91174152876280534</v>
      </c>
      <c r="H771" s="44" t="s">
        <v>49</v>
      </c>
      <c r="I771" s="44">
        <v>2025</v>
      </c>
    </row>
    <row r="772" spans="1:9" x14ac:dyDescent="0.25">
      <c r="A772" s="44" t="str">
        <f t="shared" si="30"/>
        <v>10951Octubre2025</v>
      </c>
      <c r="B772" s="44">
        <v>18</v>
      </c>
      <c r="C772" s="44">
        <v>10951</v>
      </c>
      <c r="D772" s="51" t="s">
        <v>24</v>
      </c>
      <c r="E772" s="44">
        <v>1002</v>
      </c>
      <c r="F772" s="44">
        <v>1111</v>
      </c>
      <c r="G772" s="52">
        <f t="shared" si="29"/>
        <v>0.90189018901890194</v>
      </c>
      <c r="H772" s="44" t="s">
        <v>49</v>
      </c>
      <c r="I772" s="44">
        <v>2025</v>
      </c>
    </row>
    <row r="773" spans="1:9" x14ac:dyDescent="0.25">
      <c r="A773" s="44" t="str">
        <f t="shared" si="30"/>
        <v>243Octubre2025</v>
      </c>
      <c r="B773" s="44">
        <v>19</v>
      </c>
      <c r="C773" s="44">
        <v>243</v>
      </c>
      <c r="D773" s="51" t="s">
        <v>34</v>
      </c>
      <c r="E773" s="44">
        <v>1979</v>
      </c>
      <c r="F773" s="44">
        <v>2190</v>
      </c>
      <c r="G773" s="52">
        <f t="shared" si="29"/>
        <v>0.90365296803652972</v>
      </c>
      <c r="H773" s="44" t="s">
        <v>49</v>
      </c>
      <c r="I773" s="44">
        <v>2025</v>
      </c>
    </row>
    <row r="774" spans="1:9" x14ac:dyDescent="0.25">
      <c r="A774" s="44" t="str">
        <f t="shared" si="30"/>
        <v>236Octubre2025</v>
      </c>
      <c r="B774" s="44">
        <v>20</v>
      </c>
      <c r="C774" s="44">
        <v>236</v>
      </c>
      <c r="D774" s="51" t="s">
        <v>25</v>
      </c>
      <c r="E774" s="44">
        <v>2283</v>
      </c>
      <c r="F774" s="44">
        <v>2552</v>
      </c>
      <c r="G774" s="52">
        <f t="shared" si="29"/>
        <v>0.89459247648902818</v>
      </c>
      <c r="H774" s="44" t="s">
        <v>49</v>
      </c>
      <c r="I774" s="44">
        <v>2025</v>
      </c>
    </row>
    <row r="775" spans="1:9" x14ac:dyDescent="0.25">
      <c r="A775" s="44" t="str">
        <f t="shared" si="30"/>
        <v>237Octubre2025</v>
      </c>
      <c r="B775" s="44">
        <v>21</v>
      </c>
      <c r="C775" s="44">
        <v>237</v>
      </c>
      <c r="D775" s="51" t="s">
        <v>31</v>
      </c>
      <c r="E775" s="44">
        <v>2241</v>
      </c>
      <c r="F775" s="44">
        <v>3819</v>
      </c>
      <c r="G775" s="52">
        <f t="shared" si="29"/>
        <v>0.58680282796543592</v>
      </c>
      <c r="H775" s="44" t="s">
        <v>49</v>
      </c>
      <c r="I775" s="44">
        <v>2025</v>
      </c>
    </row>
    <row r="776" spans="1:9" x14ac:dyDescent="0.25">
      <c r="A776" s="44" t="str">
        <f t="shared" si="30"/>
        <v>12163Octubre2025</v>
      </c>
      <c r="B776" s="44">
        <v>22</v>
      </c>
      <c r="C776" s="44">
        <v>12163</v>
      </c>
      <c r="D776" s="51" t="s">
        <v>67</v>
      </c>
      <c r="E776" s="44">
        <v>138</v>
      </c>
      <c r="F776" s="44">
        <v>696</v>
      </c>
      <c r="G776" s="52">
        <f t="shared" si="29"/>
        <v>0.19827586206896552</v>
      </c>
      <c r="H776" s="44" t="s">
        <v>49</v>
      </c>
      <c r="I776" s="44">
        <v>2025</v>
      </c>
    </row>
    <row r="777" spans="1:9" x14ac:dyDescent="0.25">
      <c r="A777" s="44" t="str">
        <f t="shared" si="30"/>
        <v>12166Octubre2025</v>
      </c>
      <c r="B777" s="44">
        <v>23</v>
      </c>
      <c r="C777" s="44">
        <v>12166</v>
      </c>
      <c r="D777" s="51" t="s">
        <v>65</v>
      </c>
      <c r="E777" s="44">
        <v>770</v>
      </c>
      <c r="F777" s="44">
        <v>1074</v>
      </c>
      <c r="G777" s="52">
        <f t="shared" si="29"/>
        <v>0.71694599627560518</v>
      </c>
      <c r="H777" s="44" t="s">
        <v>49</v>
      </c>
      <c r="I777" s="44">
        <v>2025</v>
      </c>
    </row>
  </sheetData>
  <phoneticPr fontId="20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0A124-6A06-47BB-AF9F-88ACF2E5DA81}">
  <sheetPr codeName="Hoja3"/>
  <dimension ref="A1:I759"/>
  <sheetViews>
    <sheetView zoomScale="90" zoomScaleNormal="90" workbookViewId="0">
      <pane xSplit="1" ySplit="1" topLeftCell="B741" activePane="bottomRight" state="frozen"/>
      <selection pane="topRight" activeCell="B1" sqref="B1"/>
      <selection pane="bottomLeft" activeCell="A2" sqref="A2"/>
      <selection pane="bottomRight" activeCell="A738" sqref="A738:A759"/>
    </sheetView>
  </sheetViews>
  <sheetFormatPr baseColWidth="10" defaultColWidth="11.5546875" defaultRowHeight="11.4" x14ac:dyDescent="0.2"/>
  <cols>
    <col min="1" max="1" width="18.6640625" style="47" bestFit="1" customWidth="1"/>
    <col min="2" max="2" width="4.5546875" style="47" bestFit="1" customWidth="1"/>
    <col min="3" max="3" width="11.6640625" style="47" bestFit="1" customWidth="1"/>
    <col min="4" max="4" width="32.33203125" style="47" bestFit="1" customWidth="1"/>
    <col min="5" max="5" width="16.6640625" style="48" customWidth="1"/>
    <col min="6" max="6" width="9.44140625" style="48" bestFit="1" customWidth="1"/>
    <col min="7" max="7" width="10.33203125" style="47" customWidth="1"/>
    <col min="8" max="8" width="9.6640625" style="47" bestFit="1" customWidth="1"/>
    <col min="9" max="9" width="5" style="47" bestFit="1" customWidth="1"/>
    <col min="10" max="16384" width="11.5546875" style="47"/>
  </cols>
  <sheetData>
    <row r="1" spans="1:9" ht="26.4" x14ac:dyDescent="0.2">
      <c r="A1" s="45" t="s">
        <v>73</v>
      </c>
      <c r="B1" s="45" t="s">
        <v>74</v>
      </c>
      <c r="C1" s="45" t="s">
        <v>76</v>
      </c>
      <c r="D1" s="45" t="s">
        <v>75</v>
      </c>
      <c r="E1" s="45" t="s">
        <v>77</v>
      </c>
      <c r="F1" s="45" t="s">
        <v>78</v>
      </c>
      <c r="G1" s="45" t="s">
        <v>5</v>
      </c>
      <c r="H1" s="46" t="s">
        <v>37</v>
      </c>
      <c r="I1" s="46" t="s">
        <v>38</v>
      </c>
    </row>
    <row r="2" spans="1:9" x14ac:dyDescent="0.2">
      <c r="A2" s="47" t="str">
        <f t="shared" ref="A2:A33" si="0">C2&amp;H2&amp;I2</f>
        <v>11931Enero2022</v>
      </c>
      <c r="B2" s="47">
        <v>1</v>
      </c>
      <c r="C2" s="47">
        <v>11931</v>
      </c>
      <c r="D2" s="47" t="s">
        <v>39</v>
      </c>
      <c r="E2" s="48">
        <v>874</v>
      </c>
      <c r="F2" s="48">
        <v>884</v>
      </c>
      <c r="G2" s="56">
        <v>0.99</v>
      </c>
      <c r="H2" s="47" t="s">
        <v>40</v>
      </c>
      <c r="I2" s="47">
        <v>2022</v>
      </c>
    </row>
    <row r="3" spans="1:9" x14ac:dyDescent="0.2">
      <c r="A3" s="47" t="str">
        <f t="shared" si="0"/>
        <v>11117Enero2022</v>
      </c>
      <c r="B3" s="47">
        <v>2</v>
      </c>
      <c r="C3" s="47">
        <v>11117</v>
      </c>
      <c r="D3" s="47" t="s">
        <v>15</v>
      </c>
      <c r="E3" s="48">
        <v>7054</v>
      </c>
      <c r="F3" s="48">
        <v>7251</v>
      </c>
      <c r="G3" s="56">
        <v>0.97</v>
      </c>
      <c r="H3" s="47" t="s">
        <v>40</v>
      </c>
      <c r="I3" s="47">
        <v>2022</v>
      </c>
    </row>
    <row r="4" spans="1:9" x14ac:dyDescent="0.2">
      <c r="A4" s="47" t="str">
        <f t="shared" si="0"/>
        <v>243Enero2022</v>
      </c>
      <c r="B4" s="47">
        <v>3</v>
      </c>
      <c r="C4" s="47">
        <v>243</v>
      </c>
      <c r="D4" s="47" t="s">
        <v>34</v>
      </c>
      <c r="E4" s="48">
        <v>2594</v>
      </c>
      <c r="F4" s="48">
        <v>2708</v>
      </c>
      <c r="G4" s="56">
        <v>0.96</v>
      </c>
      <c r="H4" s="47" t="s">
        <v>40</v>
      </c>
      <c r="I4" s="47">
        <v>2022</v>
      </c>
    </row>
    <row r="5" spans="1:9" x14ac:dyDescent="0.2">
      <c r="A5" s="47" t="str">
        <f t="shared" si="0"/>
        <v>233Enero2022</v>
      </c>
      <c r="B5" s="47">
        <v>4</v>
      </c>
      <c r="C5" s="47">
        <v>233</v>
      </c>
      <c r="D5" s="47" t="s">
        <v>27</v>
      </c>
      <c r="E5" s="48">
        <v>3438</v>
      </c>
      <c r="F5" s="48">
        <v>3656</v>
      </c>
      <c r="G5" s="56">
        <v>0.94</v>
      </c>
      <c r="H5" s="47" t="s">
        <v>40</v>
      </c>
      <c r="I5" s="47">
        <v>2022</v>
      </c>
    </row>
    <row r="6" spans="1:9" x14ac:dyDescent="0.2">
      <c r="A6" s="47" t="str">
        <f t="shared" si="0"/>
        <v>11799Enero2022</v>
      </c>
      <c r="B6" s="47">
        <v>5</v>
      </c>
      <c r="C6" s="47">
        <v>11799</v>
      </c>
      <c r="D6" s="47" t="s">
        <v>21</v>
      </c>
      <c r="E6" s="48">
        <v>1180</v>
      </c>
      <c r="F6" s="48">
        <v>1267</v>
      </c>
      <c r="G6" s="56">
        <v>0.93</v>
      </c>
      <c r="H6" s="47" t="s">
        <v>40</v>
      </c>
      <c r="I6" s="47">
        <v>2022</v>
      </c>
    </row>
    <row r="7" spans="1:9" x14ac:dyDescent="0.2">
      <c r="A7" s="47" t="str">
        <f t="shared" si="0"/>
        <v>1557Enero2022</v>
      </c>
      <c r="B7" s="47">
        <v>6</v>
      </c>
      <c r="C7" s="47">
        <v>1557</v>
      </c>
      <c r="D7" s="47" t="s">
        <v>12</v>
      </c>
      <c r="E7" s="48">
        <v>896</v>
      </c>
      <c r="F7" s="48">
        <v>967</v>
      </c>
      <c r="G7" s="56">
        <v>0.93</v>
      </c>
      <c r="H7" s="47" t="s">
        <v>40</v>
      </c>
      <c r="I7" s="47">
        <v>2022</v>
      </c>
    </row>
    <row r="8" spans="1:9" x14ac:dyDescent="0.2">
      <c r="A8" s="47" t="str">
        <f t="shared" si="0"/>
        <v>11882Enero2022</v>
      </c>
      <c r="B8" s="47">
        <v>7</v>
      </c>
      <c r="C8" s="47">
        <v>11882</v>
      </c>
      <c r="D8" s="47" t="s">
        <v>22</v>
      </c>
      <c r="E8" s="48">
        <v>878</v>
      </c>
      <c r="F8" s="48">
        <v>964</v>
      </c>
      <c r="G8" s="56">
        <v>0.91</v>
      </c>
      <c r="H8" s="47" t="s">
        <v>40</v>
      </c>
      <c r="I8" s="47">
        <v>2022</v>
      </c>
    </row>
    <row r="9" spans="1:9" x14ac:dyDescent="0.2">
      <c r="A9" s="47" t="str">
        <f t="shared" si="0"/>
        <v>238Enero2022</v>
      </c>
      <c r="B9" s="47">
        <v>8</v>
      </c>
      <c r="C9" s="47">
        <v>238</v>
      </c>
      <c r="D9" s="47" t="s">
        <v>35</v>
      </c>
      <c r="E9" s="48">
        <v>1175</v>
      </c>
      <c r="F9" s="48">
        <v>1302</v>
      </c>
      <c r="G9" s="56">
        <v>0.9</v>
      </c>
      <c r="H9" s="47" t="s">
        <v>40</v>
      </c>
      <c r="I9" s="47">
        <v>2022</v>
      </c>
    </row>
    <row r="10" spans="1:9" x14ac:dyDescent="0.2">
      <c r="A10" s="47" t="str">
        <f t="shared" si="0"/>
        <v>28745Enero2022</v>
      </c>
      <c r="B10" s="47">
        <v>9</v>
      </c>
      <c r="C10" s="47">
        <v>28745</v>
      </c>
      <c r="D10" s="47" t="s">
        <v>6</v>
      </c>
      <c r="E10" s="48">
        <v>85</v>
      </c>
      <c r="F10" s="48">
        <v>94</v>
      </c>
      <c r="G10" s="56">
        <v>0.9</v>
      </c>
      <c r="H10" s="47" t="s">
        <v>40</v>
      </c>
      <c r="I10" s="47">
        <v>2022</v>
      </c>
    </row>
    <row r="11" spans="1:9" x14ac:dyDescent="0.2">
      <c r="A11" s="47" t="str">
        <f t="shared" si="0"/>
        <v>10951Enero2022</v>
      </c>
      <c r="B11" s="47">
        <v>10</v>
      </c>
      <c r="C11" s="47">
        <v>10951</v>
      </c>
      <c r="D11" s="47" t="s">
        <v>24</v>
      </c>
      <c r="E11" s="48">
        <v>1356</v>
      </c>
      <c r="F11" s="48">
        <v>1588</v>
      </c>
      <c r="G11" s="56">
        <v>0.85</v>
      </c>
      <c r="H11" s="47" t="s">
        <v>40</v>
      </c>
      <c r="I11" s="47">
        <v>2022</v>
      </c>
    </row>
    <row r="12" spans="1:9" x14ac:dyDescent="0.2">
      <c r="A12" s="47" t="str">
        <f t="shared" si="0"/>
        <v>11116Enero2022</v>
      </c>
      <c r="B12" s="47">
        <v>11</v>
      </c>
      <c r="C12" s="47">
        <v>11116</v>
      </c>
      <c r="D12" s="47" t="s">
        <v>28</v>
      </c>
      <c r="E12" s="48">
        <v>7040</v>
      </c>
      <c r="F12" s="48">
        <v>8300</v>
      </c>
      <c r="G12" s="56">
        <v>0.85</v>
      </c>
      <c r="H12" s="47" t="s">
        <v>40</v>
      </c>
      <c r="I12" s="47">
        <v>2022</v>
      </c>
    </row>
    <row r="13" spans="1:9" x14ac:dyDescent="0.2">
      <c r="A13" s="47" t="str">
        <f t="shared" si="0"/>
        <v>234Enero2022</v>
      </c>
      <c r="B13" s="47">
        <v>12</v>
      </c>
      <c r="C13" s="47">
        <v>234</v>
      </c>
      <c r="D13" s="47" t="s">
        <v>18</v>
      </c>
      <c r="E13" s="48">
        <v>2549</v>
      </c>
      <c r="F13" s="48">
        <v>3195</v>
      </c>
      <c r="G13" s="56">
        <v>0.8</v>
      </c>
      <c r="H13" s="47" t="s">
        <v>40</v>
      </c>
      <c r="I13" s="47">
        <v>2022</v>
      </c>
    </row>
    <row r="14" spans="1:9" x14ac:dyDescent="0.2">
      <c r="A14" s="47" t="str">
        <f t="shared" si="0"/>
        <v>242Enero2022</v>
      </c>
      <c r="B14" s="47">
        <v>13</v>
      </c>
      <c r="C14" s="47">
        <v>242</v>
      </c>
      <c r="D14" s="47" t="s">
        <v>7</v>
      </c>
      <c r="E14" s="48">
        <v>1576</v>
      </c>
      <c r="F14" s="48">
        <v>2079</v>
      </c>
      <c r="G14" s="56">
        <v>0.76</v>
      </c>
      <c r="H14" s="47" t="s">
        <v>40</v>
      </c>
      <c r="I14" s="47">
        <v>2022</v>
      </c>
    </row>
    <row r="15" spans="1:9" x14ac:dyDescent="0.2">
      <c r="A15" s="47" t="str">
        <f t="shared" si="0"/>
        <v>10904Enero2022</v>
      </c>
      <c r="B15" s="47">
        <v>14</v>
      </c>
      <c r="C15" s="47">
        <v>10904</v>
      </c>
      <c r="D15" s="47" t="s">
        <v>29</v>
      </c>
      <c r="E15" s="48">
        <v>1122</v>
      </c>
      <c r="F15" s="48">
        <v>1582</v>
      </c>
      <c r="G15" s="56">
        <v>0.71</v>
      </c>
      <c r="H15" s="47" t="s">
        <v>40</v>
      </c>
      <c r="I15" s="47">
        <v>2022</v>
      </c>
    </row>
    <row r="16" spans="1:9" x14ac:dyDescent="0.2">
      <c r="A16" s="47" t="str">
        <f t="shared" si="0"/>
        <v>235Enero2022</v>
      </c>
      <c r="B16" s="47">
        <v>15</v>
      </c>
      <c r="C16" s="47">
        <v>235</v>
      </c>
      <c r="D16" s="47" t="s">
        <v>33</v>
      </c>
      <c r="E16" s="48">
        <v>2272</v>
      </c>
      <c r="F16" s="48">
        <v>3366</v>
      </c>
      <c r="G16" s="56">
        <v>0.67</v>
      </c>
      <c r="H16" s="47" t="s">
        <v>40</v>
      </c>
      <c r="I16" s="47">
        <v>2022</v>
      </c>
    </row>
    <row r="17" spans="1:9" x14ac:dyDescent="0.2">
      <c r="A17" s="47" t="str">
        <f t="shared" si="0"/>
        <v>237Enero2022</v>
      </c>
      <c r="B17" s="47">
        <v>16</v>
      </c>
      <c r="C17" s="47">
        <v>237</v>
      </c>
      <c r="D17" s="47" t="s">
        <v>31</v>
      </c>
      <c r="E17" s="48">
        <v>2474</v>
      </c>
      <c r="F17" s="48">
        <v>3687</v>
      </c>
      <c r="G17" s="56">
        <v>0.67</v>
      </c>
      <c r="H17" s="47" t="s">
        <v>40</v>
      </c>
      <c r="I17" s="47">
        <v>2022</v>
      </c>
    </row>
    <row r="18" spans="1:9" x14ac:dyDescent="0.2">
      <c r="A18" s="47" t="str">
        <f t="shared" si="0"/>
        <v>241Enero2022</v>
      </c>
      <c r="B18" s="47">
        <v>17</v>
      </c>
      <c r="C18" s="47">
        <v>241</v>
      </c>
      <c r="D18" s="47" t="s">
        <v>30</v>
      </c>
      <c r="E18" s="48">
        <v>1231</v>
      </c>
      <c r="F18" s="48">
        <v>1951</v>
      </c>
      <c r="G18" s="56">
        <v>0.63</v>
      </c>
      <c r="H18" s="47" t="s">
        <v>40</v>
      </c>
      <c r="I18" s="47">
        <v>2022</v>
      </c>
    </row>
    <row r="19" spans="1:9" x14ac:dyDescent="0.2">
      <c r="A19" s="47" t="str">
        <f t="shared" si="0"/>
        <v>246Enero2022</v>
      </c>
      <c r="B19" s="47">
        <v>18</v>
      </c>
      <c r="C19" s="47">
        <v>246</v>
      </c>
      <c r="D19" s="47" t="s">
        <v>9</v>
      </c>
      <c r="E19" s="48">
        <v>1705</v>
      </c>
      <c r="F19" s="48">
        <v>2936</v>
      </c>
      <c r="G19" s="56">
        <v>0.57999999999999996</v>
      </c>
      <c r="H19" s="47" t="s">
        <v>40</v>
      </c>
      <c r="I19" s="47">
        <v>2022</v>
      </c>
    </row>
    <row r="20" spans="1:9" x14ac:dyDescent="0.2">
      <c r="A20" s="47" t="str">
        <f t="shared" si="0"/>
        <v>240Enero2022</v>
      </c>
      <c r="B20" s="47">
        <v>19</v>
      </c>
      <c r="C20" s="47">
        <v>240</v>
      </c>
      <c r="D20" s="47" t="s">
        <v>23</v>
      </c>
      <c r="E20" s="48">
        <v>1396</v>
      </c>
      <c r="F20" s="48">
        <v>2653</v>
      </c>
      <c r="G20" s="56">
        <v>0.53</v>
      </c>
      <c r="H20" s="47" t="s">
        <v>40</v>
      </c>
      <c r="I20" s="47">
        <v>2022</v>
      </c>
    </row>
    <row r="21" spans="1:9" x14ac:dyDescent="0.2">
      <c r="A21" s="47" t="str">
        <f t="shared" si="0"/>
        <v>239Enero2022</v>
      </c>
      <c r="B21" s="47">
        <v>20</v>
      </c>
      <c r="C21" s="47">
        <v>239</v>
      </c>
      <c r="D21" s="47" t="s">
        <v>32</v>
      </c>
      <c r="E21" s="48">
        <v>1313</v>
      </c>
      <c r="F21" s="48">
        <v>2693</v>
      </c>
      <c r="G21" s="56">
        <v>0.49</v>
      </c>
      <c r="H21" s="47" t="s">
        <v>40</v>
      </c>
      <c r="I21" s="47">
        <v>2022</v>
      </c>
    </row>
    <row r="22" spans="1:9" x14ac:dyDescent="0.2">
      <c r="A22" s="47" t="str">
        <f t="shared" si="0"/>
        <v>236Enero2022</v>
      </c>
      <c r="B22" s="47">
        <v>21</v>
      </c>
      <c r="C22" s="47">
        <v>236</v>
      </c>
      <c r="D22" s="47" t="s">
        <v>25</v>
      </c>
      <c r="E22" s="48">
        <v>352</v>
      </c>
      <c r="F22" s="48">
        <v>1727</v>
      </c>
      <c r="G22" s="56">
        <v>0.2</v>
      </c>
      <c r="H22" s="47" t="s">
        <v>40</v>
      </c>
      <c r="I22" s="47">
        <v>2022</v>
      </c>
    </row>
    <row r="23" spans="1:9" x14ac:dyDescent="0.2">
      <c r="A23" s="47" t="str">
        <f t="shared" si="0"/>
        <v>11931Febrero2022</v>
      </c>
      <c r="B23" s="47">
        <v>1</v>
      </c>
      <c r="C23" s="47">
        <v>11931</v>
      </c>
      <c r="D23" s="47" t="s">
        <v>39</v>
      </c>
      <c r="E23" s="48">
        <v>1658</v>
      </c>
      <c r="F23" s="48">
        <v>1688</v>
      </c>
      <c r="G23" s="56">
        <v>0.98</v>
      </c>
      <c r="H23" s="47" t="s">
        <v>41</v>
      </c>
      <c r="I23" s="47">
        <v>2022</v>
      </c>
    </row>
    <row r="24" spans="1:9" x14ac:dyDescent="0.2">
      <c r="A24" s="47" t="str">
        <f t="shared" si="0"/>
        <v>11117Febrero2022</v>
      </c>
      <c r="B24" s="47">
        <v>2</v>
      </c>
      <c r="C24" s="47">
        <v>11117</v>
      </c>
      <c r="D24" s="47" t="s">
        <v>15</v>
      </c>
      <c r="E24" s="48">
        <v>13684</v>
      </c>
      <c r="F24" s="48">
        <v>14116</v>
      </c>
      <c r="G24" s="56">
        <v>0.97</v>
      </c>
      <c r="H24" s="47" t="s">
        <v>41</v>
      </c>
      <c r="I24" s="47">
        <v>2022</v>
      </c>
    </row>
    <row r="25" spans="1:9" x14ac:dyDescent="0.2">
      <c r="A25" s="47" t="str">
        <f t="shared" si="0"/>
        <v>233Febrero2022</v>
      </c>
      <c r="B25" s="47">
        <v>3</v>
      </c>
      <c r="C25" s="47">
        <v>233</v>
      </c>
      <c r="D25" s="47" t="s">
        <v>27</v>
      </c>
      <c r="E25" s="48">
        <v>6942</v>
      </c>
      <c r="F25" s="48">
        <v>7269</v>
      </c>
      <c r="G25" s="56">
        <v>0.96</v>
      </c>
      <c r="H25" s="47" t="s">
        <v>41</v>
      </c>
      <c r="I25" s="47">
        <v>2022</v>
      </c>
    </row>
    <row r="26" spans="1:9" x14ac:dyDescent="0.2">
      <c r="A26" s="47" t="str">
        <f t="shared" si="0"/>
        <v>243Febrero2022</v>
      </c>
      <c r="B26" s="47">
        <v>4</v>
      </c>
      <c r="C26" s="47">
        <v>243</v>
      </c>
      <c r="D26" s="47" t="s">
        <v>34</v>
      </c>
      <c r="E26" s="48">
        <v>4782</v>
      </c>
      <c r="F26" s="48">
        <v>5024</v>
      </c>
      <c r="G26" s="56">
        <v>0.95</v>
      </c>
      <c r="H26" s="47" t="s">
        <v>41</v>
      </c>
      <c r="I26" s="47">
        <v>2022</v>
      </c>
    </row>
    <row r="27" spans="1:9" x14ac:dyDescent="0.2">
      <c r="A27" s="47" t="str">
        <f t="shared" si="0"/>
        <v>11799Febrero2022</v>
      </c>
      <c r="B27" s="47">
        <v>5</v>
      </c>
      <c r="C27" s="47">
        <v>11799</v>
      </c>
      <c r="D27" s="47" t="s">
        <v>21</v>
      </c>
      <c r="E27" s="48">
        <v>2230</v>
      </c>
      <c r="F27" s="48">
        <v>2439</v>
      </c>
      <c r="G27" s="56">
        <v>0.91</v>
      </c>
      <c r="H27" s="47" t="s">
        <v>41</v>
      </c>
      <c r="I27" s="47">
        <v>2022</v>
      </c>
    </row>
    <row r="28" spans="1:9" x14ac:dyDescent="0.2">
      <c r="A28" s="47" t="str">
        <f t="shared" si="0"/>
        <v>238Febrero2022</v>
      </c>
      <c r="B28" s="47">
        <v>6</v>
      </c>
      <c r="C28" s="47">
        <v>238</v>
      </c>
      <c r="D28" s="47" t="s">
        <v>35</v>
      </c>
      <c r="E28" s="48">
        <v>2657</v>
      </c>
      <c r="F28" s="48">
        <v>2904</v>
      </c>
      <c r="G28" s="56">
        <v>0.91</v>
      </c>
      <c r="H28" s="47" t="s">
        <v>41</v>
      </c>
      <c r="I28" s="47">
        <v>2022</v>
      </c>
    </row>
    <row r="29" spans="1:9" x14ac:dyDescent="0.2">
      <c r="A29" s="47" t="str">
        <f t="shared" si="0"/>
        <v>10951Febrero2022</v>
      </c>
      <c r="B29" s="47">
        <v>7</v>
      </c>
      <c r="C29" s="47">
        <v>10951</v>
      </c>
      <c r="D29" s="47" t="s">
        <v>24</v>
      </c>
      <c r="E29" s="48">
        <v>2979</v>
      </c>
      <c r="F29" s="48">
        <v>3315</v>
      </c>
      <c r="G29" s="56">
        <v>0.9</v>
      </c>
      <c r="H29" s="47" t="s">
        <v>41</v>
      </c>
      <c r="I29" s="47">
        <v>2022</v>
      </c>
    </row>
    <row r="30" spans="1:9" x14ac:dyDescent="0.2">
      <c r="A30" s="47" t="str">
        <f t="shared" si="0"/>
        <v>28745Febrero2022</v>
      </c>
      <c r="B30" s="47">
        <v>8</v>
      </c>
      <c r="C30" s="47">
        <v>28745</v>
      </c>
      <c r="D30" s="47" t="s">
        <v>6</v>
      </c>
      <c r="E30" s="48">
        <v>238</v>
      </c>
      <c r="F30" s="48">
        <v>270</v>
      </c>
      <c r="G30" s="56">
        <v>0.88</v>
      </c>
      <c r="H30" s="47" t="s">
        <v>41</v>
      </c>
      <c r="I30" s="47">
        <v>2022</v>
      </c>
    </row>
    <row r="31" spans="1:9" x14ac:dyDescent="0.2">
      <c r="A31" s="47" t="str">
        <f t="shared" si="0"/>
        <v>11882Febrero2022</v>
      </c>
      <c r="B31" s="47">
        <v>9</v>
      </c>
      <c r="C31" s="47">
        <v>11882</v>
      </c>
      <c r="D31" s="47" t="s">
        <v>22</v>
      </c>
      <c r="E31" s="48">
        <v>1522</v>
      </c>
      <c r="F31" s="48">
        <v>1750</v>
      </c>
      <c r="G31" s="56">
        <v>0.87</v>
      </c>
      <c r="H31" s="47" t="s">
        <v>41</v>
      </c>
      <c r="I31" s="47">
        <v>2022</v>
      </c>
    </row>
    <row r="32" spans="1:9" x14ac:dyDescent="0.2">
      <c r="A32" s="47" t="str">
        <f t="shared" si="0"/>
        <v>11116Febrero2022</v>
      </c>
      <c r="B32" s="47">
        <v>10</v>
      </c>
      <c r="C32" s="47">
        <v>11116</v>
      </c>
      <c r="D32" s="47" t="s">
        <v>28</v>
      </c>
      <c r="E32" s="48">
        <v>13386</v>
      </c>
      <c r="F32" s="48">
        <v>15924</v>
      </c>
      <c r="G32" s="56">
        <v>0.84</v>
      </c>
      <c r="H32" s="47" t="s">
        <v>41</v>
      </c>
      <c r="I32" s="47">
        <v>2022</v>
      </c>
    </row>
    <row r="33" spans="1:9" x14ac:dyDescent="0.2">
      <c r="A33" s="47" t="str">
        <f t="shared" si="0"/>
        <v>1557Febrero2022</v>
      </c>
      <c r="B33" s="47">
        <v>11</v>
      </c>
      <c r="C33" s="47">
        <v>1557</v>
      </c>
      <c r="D33" s="47" t="s">
        <v>12</v>
      </c>
      <c r="E33" s="48">
        <v>1623</v>
      </c>
      <c r="F33" s="48">
        <v>1940</v>
      </c>
      <c r="G33" s="56">
        <v>0.84</v>
      </c>
      <c r="H33" s="47" t="s">
        <v>41</v>
      </c>
      <c r="I33" s="47">
        <v>2022</v>
      </c>
    </row>
    <row r="34" spans="1:9" x14ac:dyDescent="0.2">
      <c r="A34" s="47" t="str">
        <f t="shared" ref="A34:A65" si="1">C34&amp;H34&amp;I34</f>
        <v>242Febrero2022</v>
      </c>
      <c r="B34" s="47">
        <v>12</v>
      </c>
      <c r="C34" s="47">
        <v>242</v>
      </c>
      <c r="D34" s="47" t="s">
        <v>7</v>
      </c>
      <c r="E34" s="48">
        <v>3812</v>
      </c>
      <c r="F34" s="48">
        <v>4709</v>
      </c>
      <c r="G34" s="56">
        <v>0.81</v>
      </c>
      <c r="H34" s="47" t="s">
        <v>41</v>
      </c>
      <c r="I34" s="47">
        <v>2022</v>
      </c>
    </row>
    <row r="35" spans="1:9" x14ac:dyDescent="0.2">
      <c r="A35" s="47" t="str">
        <f t="shared" si="1"/>
        <v>235Febrero2022</v>
      </c>
      <c r="B35" s="47">
        <v>13</v>
      </c>
      <c r="C35" s="47">
        <v>235</v>
      </c>
      <c r="D35" s="47" t="s">
        <v>33</v>
      </c>
      <c r="E35" s="48">
        <v>4603</v>
      </c>
      <c r="F35" s="48">
        <v>6127</v>
      </c>
      <c r="G35" s="56">
        <v>0.75</v>
      </c>
      <c r="H35" s="47" t="s">
        <v>41</v>
      </c>
      <c r="I35" s="47">
        <v>2022</v>
      </c>
    </row>
    <row r="36" spans="1:9" x14ac:dyDescent="0.2">
      <c r="A36" s="47" t="str">
        <f t="shared" si="1"/>
        <v>237Febrero2022</v>
      </c>
      <c r="B36" s="47">
        <v>14</v>
      </c>
      <c r="C36" s="47">
        <v>237</v>
      </c>
      <c r="D36" s="47" t="s">
        <v>31</v>
      </c>
      <c r="E36" s="48">
        <v>4585</v>
      </c>
      <c r="F36" s="48">
        <v>6241</v>
      </c>
      <c r="G36" s="56">
        <v>0.73</v>
      </c>
      <c r="H36" s="47" t="s">
        <v>41</v>
      </c>
      <c r="I36" s="47">
        <v>2022</v>
      </c>
    </row>
    <row r="37" spans="1:9" x14ac:dyDescent="0.2">
      <c r="A37" s="47" t="str">
        <f t="shared" si="1"/>
        <v>234Febrero2022</v>
      </c>
      <c r="B37" s="47">
        <v>15</v>
      </c>
      <c r="C37" s="47">
        <v>234</v>
      </c>
      <c r="D37" s="47" t="s">
        <v>18</v>
      </c>
      <c r="E37" s="48">
        <v>4799</v>
      </c>
      <c r="F37" s="48">
        <v>6638</v>
      </c>
      <c r="G37" s="56">
        <v>0.72</v>
      </c>
      <c r="H37" s="47" t="s">
        <v>41</v>
      </c>
      <c r="I37" s="47">
        <v>2022</v>
      </c>
    </row>
    <row r="38" spans="1:9" x14ac:dyDescent="0.2">
      <c r="A38" s="47" t="str">
        <f t="shared" si="1"/>
        <v>10904Febrero2022</v>
      </c>
      <c r="B38" s="47">
        <v>16</v>
      </c>
      <c r="C38" s="47">
        <v>10904</v>
      </c>
      <c r="D38" s="47" t="s">
        <v>29</v>
      </c>
      <c r="E38" s="48">
        <v>1866</v>
      </c>
      <c r="F38" s="48">
        <v>2622</v>
      </c>
      <c r="G38" s="56">
        <v>0.71</v>
      </c>
      <c r="H38" s="47" t="s">
        <v>41</v>
      </c>
      <c r="I38" s="47">
        <v>2022</v>
      </c>
    </row>
    <row r="39" spans="1:9" x14ac:dyDescent="0.2">
      <c r="A39" s="47" t="str">
        <f t="shared" si="1"/>
        <v>241Febrero2022</v>
      </c>
      <c r="B39" s="47">
        <v>17</v>
      </c>
      <c r="C39" s="47">
        <v>241</v>
      </c>
      <c r="D39" s="47" t="s">
        <v>30</v>
      </c>
      <c r="E39" s="48">
        <v>2638</v>
      </c>
      <c r="F39" s="48">
        <v>3797</v>
      </c>
      <c r="G39" s="56">
        <v>0.69</v>
      </c>
      <c r="H39" s="47" t="s">
        <v>41</v>
      </c>
      <c r="I39" s="47">
        <v>2022</v>
      </c>
    </row>
    <row r="40" spans="1:9" x14ac:dyDescent="0.2">
      <c r="A40" s="47" t="str">
        <f t="shared" si="1"/>
        <v>240Febrero2022</v>
      </c>
      <c r="B40" s="47">
        <v>18</v>
      </c>
      <c r="C40" s="47">
        <v>240</v>
      </c>
      <c r="D40" s="47" t="s">
        <v>23</v>
      </c>
      <c r="E40" s="48">
        <v>3269</v>
      </c>
      <c r="F40" s="48">
        <v>5057</v>
      </c>
      <c r="G40" s="56">
        <v>0.65</v>
      </c>
      <c r="H40" s="47" t="s">
        <v>41</v>
      </c>
      <c r="I40" s="47">
        <v>2022</v>
      </c>
    </row>
    <row r="41" spans="1:9" x14ac:dyDescent="0.2">
      <c r="A41" s="47" t="str">
        <f t="shared" si="1"/>
        <v>239Febrero2022</v>
      </c>
      <c r="B41" s="47">
        <v>19</v>
      </c>
      <c r="C41" s="47">
        <v>239</v>
      </c>
      <c r="D41" s="47" t="s">
        <v>32</v>
      </c>
      <c r="E41" s="48">
        <v>3411</v>
      </c>
      <c r="F41" s="48">
        <v>5303</v>
      </c>
      <c r="G41" s="56">
        <v>0.64</v>
      </c>
      <c r="H41" s="47" t="s">
        <v>41</v>
      </c>
      <c r="I41" s="47">
        <v>2022</v>
      </c>
    </row>
    <row r="42" spans="1:9" x14ac:dyDescent="0.2">
      <c r="A42" s="47" t="str">
        <f t="shared" si="1"/>
        <v>246Febrero2022</v>
      </c>
      <c r="B42" s="47">
        <v>20</v>
      </c>
      <c r="C42" s="47">
        <v>246</v>
      </c>
      <c r="D42" s="47" t="s">
        <v>9</v>
      </c>
      <c r="E42" s="48">
        <v>2838</v>
      </c>
      <c r="F42" s="48">
        <v>4620</v>
      </c>
      <c r="G42" s="56">
        <v>0.61</v>
      </c>
      <c r="H42" s="47" t="s">
        <v>41</v>
      </c>
      <c r="I42" s="47">
        <v>2022</v>
      </c>
    </row>
    <row r="43" spans="1:9" x14ac:dyDescent="0.2">
      <c r="A43" s="47" t="str">
        <f t="shared" si="1"/>
        <v>236Febrero2022</v>
      </c>
      <c r="B43" s="47">
        <v>21</v>
      </c>
      <c r="C43" s="47">
        <v>236</v>
      </c>
      <c r="D43" s="47" t="s">
        <v>25</v>
      </c>
      <c r="E43" s="48">
        <v>673</v>
      </c>
      <c r="F43" s="48">
        <v>4101</v>
      </c>
      <c r="G43" s="56">
        <v>0.16</v>
      </c>
      <c r="H43" s="47" t="s">
        <v>41</v>
      </c>
      <c r="I43" s="47">
        <v>2022</v>
      </c>
    </row>
    <row r="44" spans="1:9" x14ac:dyDescent="0.2">
      <c r="A44" s="47" t="str">
        <f t="shared" si="1"/>
        <v>11117Marzo2022</v>
      </c>
      <c r="B44" s="47">
        <v>1</v>
      </c>
      <c r="C44" s="47">
        <v>11117</v>
      </c>
      <c r="D44" s="47" t="s">
        <v>15</v>
      </c>
      <c r="E44" s="48">
        <v>22314</v>
      </c>
      <c r="F44" s="48">
        <v>23003</v>
      </c>
      <c r="G44" s="56">
        <v>0.97</v>
      </c>
      <c r="H44" s="47" t="s">
        <v>42</v>
      </c>
      <c r="I44" s="47">
        <v>2022</v>
      </c>
    </row>
    <row r="45" spans="1:9" x14ac:dyDescent="0.2">
      <c r="A45" s="47" t="str">
        <f t="shared" si="1"/>
        <v>233Marzo2022</v>
      </c>
      <c r="B45" s="47">
        <v>2</v>
      </c>
      <c r="C45" s="47">
        <v>233</v>
      </c>
      <c r="D45" s="47" t="s">
        <v>27</v>
      </c>
      <c r="E45" s="48">
        <v>13058</v>
      </c>
      <c r="F45" s="48">
        <v>13682</v>
      </c>
      <c r="G45" s="56">
        <v>0.95</v>
      </c>
      <c r="H45" s="47" t="s">
        <v>42</v>
      </c>
      <c r="I45" s="47">
        <v>2022</v>
      </c>
    </row>
    <row r="46" spans="1:9" x14ac:dyDescent="0.2">
      <c r="A46" s="47" t="str">
        <f t="shared" si="1"/>
        <v>238Marzo2022</v>
      </c>
      <c r="B46" s="47">
        <v>3</v>
      </c>
      <c r="C46" s="47">
        <v>238</v>
      </c>
      <c r="D46" s="47" t="s">
        <v>35</v>
      </c>
      <c r="E46" s="48">
        <v>3952</v>
      </c>
      <c r="F46" s="48">
        <v>4261</v>
      </c>
      <c r="G46" s="56">
        <v>0.93</v>
      </c>
      <c r="H46" s="47" t="s">
        <v>42</v>
      </c>
      <c r="I46" s="47">
        <v>2022</v>
      </c>
    </row>
    <row r="47" spans="1:9" x14ac:dyDescent="0.2">
      <c r="A47" s="47" t="str">
        <f t="shared" si="1"/>
        <v>243Marzo2022</v>
      </c>
      <c r="B47" s="47">
        <v>4</v>
      </c>
      <c r="C47" s="47">
        <v>243</v>
      </c>
      <c r="D47" s="47" t="s">
        <v>34</v>
      </c>
      <c r="E47" s="48">
        <v>7460</v>
      </c>
      <c r="F47" s="48">
        <v>8043</v>
      </c>
      <c r="G47" s="56">
        <v>0.93</v>
      </c>
      <c r="H47" s="47" t="s">
        <v>42</v>
      </c>
      <c r="I47" s="47">
        <v>2022</v>
      </c>
    </row>
    <row r="48" spans="1:9" x14ac:dyDescent="0.2">
      <c r="A48" s="47" t="str">
        <f t="shared" si="1"/>
        <v>10951Marzo2022</v>
      </c>
      <c r="B48" s="47">
        <v>5</v>
      </c>
      <c r="C48" s="47">
        <v>10951</v>
      </c>
      <c r="D48" s="47" t="s">
        <v>24</v>
      </c>
      <c r="E48" s="48">
        <v>4986</v>
      </c>
      <c r="F48" s="48">
        <v>5438</v>
      </c>
      <c r="G48" s="56">
        <v>0.92</v>
      </c>
      <c r="H48" s="47" t="s">
        <v>42</v>
      </c>
      <c r="I48" s="47">
        <v>2022</v>
      </c>
    </row>
    <row r="49" spans="1:9" x14ac:dyDescent="0.2">
      <c r="A49" s="47" t="str">
        <f t="shared" si="1"/>
        <v>11931Marzo2022</v>
      </c>
      <c r="B49" s="47">
        <v>6</v>
      </c>
      <c r="C49" s="47">
        <v>11931</v>
      </c>
      <c r="D49" s="47" t="s">
        <v>39</v>
      </c>
      <c r="E49" s="48">
        <v>3517</v>
      </c>
      <c r="F49" s="48">
        <v>3833</v>
      </c>
      <c r="G49" s="56">
        <v>0.92</v>
      </c>
      <c r="H49" s="47" t="s">
        <v>42</v>
      </c>
      <c r="I49" s="47">
        <v>2022</v>
      </c>
    </row>
    <row r="50" spans="1:9" x14ac:dyDescent="0.2">
      <c r="A50" s="47" t="str">
        <f t="shared" si="1"/>
        <v>28745Marzo2022</v>
      </c>
      <c r="B50" s="47">
        <v>7</v>
      </c>
      <c r="C50" s="47">
        <v>28745</v>
      </c>
      <c r="D50" s="47" t="s">
        <v>6</v>
      </c>
      <c r="E50" s="48">
        <v>461</v>
      </c>
      <c r="F50" s="48">
        <v>511</v>
      </c>
      <c r="G50" s="56">
        <v>0.9</v>
      </c>
      <c r="H50" s="47" t="s">
        <v>42</v>
      </c>
      <c r="I50" s="47">
        <v>2022</v>
      </c>
    </row>
    <row r="51" spans="1:9" x14ac:dyDescent="0.2">
      <c r="A51" s="47" t="str">
        <f t="shared" si="1"/>
        <v>1557Marzo2022</v>
      </c>
      <c r="B51" s="47">
        <v>8</v>
      </c>
      <c r="C51" s="47">
        <v>1557</v>
      </c>
      <c r="D51" s="47" t="s">
        <v>12</v>
      </c>
      <c r="E51" s="48">
        <v>3143</v>
      </c>
      <c r="F51" s="48">
        <v>3516</v>
      </c>
      <c r="G51" s="56">
        <v>0.89</v>
      </c>
      <c r="H51" s="47" t="s">
        <v>42</v>
      </c>
      <c r="I51" s="47">
        <v>2022</v>
      </c>
    </row>
    <row r="52" spans="1:9" x14ac:dyDescent="0.2">
      <c r="A52" s="47" t="str">
        <f t="shared" si="1"/>
        <v>11799Marzo2022</v>
      </c>
      <c r="B52" s="47">
        <v>9</v>
      </c>
      <c r="C52" s="47">
        <v>11799</v>
      </c>
      <c r="D52" s="47" t="s">
        <v>21</v>
      </c>
      <c r="E52" s="48">
        <v>3367</v>
      </c>
      <c r="F52" s="48">
        <v>3819</v>
      </c>
      <c r="G52" s="56">
        <v>0.88</v>
      </c>
      <c r="H52" s="47" t="s">
        <v>42</v>
      </c>
      <c r="I52" s="47">
        <v>2022</v>
      </c>
    </row>
    <row r="53" spans="1:9" x14ac:dyDescent="0.2">
      <c r="A53" s="47" t="str">
        <f t="shared" si="1"/>
        <v>11882Marzo2022</v>
      </c>
      <c r="B53" s="47">
        <v>10</v>
      </c>
      <c r="C53" s="47">
        <v>11882</v>
      </c>
      <c r="D53" s="47" t="s">
        <v>22</v>
      </c>
      <c r="E53" s="48">
        <v>2693</v>
      </c>
      <c r="F53" s="48">
        <v>3052</v>
      </c>
      <c r="G53" s="56">
        <v>0.88</v>
      </c>
      <c r="H53" s="47" t="s">
        <v>42</v>
      </c>
      <c r="I53" s="47">
        <v>2022</v>
      </c>
    </row>
    <row r="54" spans="1:9" x14ac:dyDescent="0.2">
      <c r="A54" s="47" t="str">
        <f t="shared" si="1"/>
        <v>11116Marzo2022</v>
      </c>
      <c r="B54" s="47">
        <v>11</v>
      </c>
      <c r="C54" s="47">
        <v>11116</v>
      </c>
      <c r="D54" s="47" t="s">
        <v>28</v>
      </c>
      <c r="E54" s="48">
        <v>21542</v>
      </c>
      <c r="F54" s="48">
        <v>25452</v>
      </c>
      <c r="G54" s="56">
        <v>0.85</v>
      </c>
      <c r="H54" s="47" t="s">
        <v>42</v>
      </c>
      <c r="I54" s="47">
        <v>2022</v>
      </c>
    </row>
    <row r="55" spans="1:9" x14ac:dyDescent="0.2">
      <c r="A55" s="47" t="str">
        <f t="shared" si="1"/>
        <v>235Marzo2022</v>
      </c>
      <c r="B55" s="47">
        <v>12</v>
      </c>
      <c r="C55" s="47">
        <v>235</v>
      </c>
      <c r="D55" s="47" t="s">
        <v>33</v>
      </c>
      <c r="E55" s="48">
        <v>6591</v>
      </c>
      <c r="F55" s="48">
        <v>8330</v>
      </c>
      <c r="G55" s="56">
        <v>0.79</v>
      </c>
      <c r="H55" s="47" t="s">
        <v>42</v>
      </c>
      <c r="I55" s="47">
        <v>2022</v>
      </c>
    </row>
    <row r="56" spans="1:9" x14ac:dyDescent="0.2">
      <c r="A56" s="47" t="str">
        <f t="shared" si="1"/>
        <v>237Marzo2022</v>
      </c>
      <c r="B56" s="47">
        <v>13</v>
      </c>
      <c r="C56" s="47">
        <v>237</v>
      </c>
      <c r="D56" s="47" t="s">
        <v>31</v>
      </c>
      <c r="E56" s="48">
        <v>7060</v>
      </c>
      <c r="F56" s="48">
        <v>9331</v>
      </c>
      <c r="G56" s="56">
        <v>0.76</v>
      </c>
      <c r="H56" s="47" t="s">
        <v>42</v>
      </c>
      <c r="I56" s="47">
        <v>2022</v>
      </c>
    </row>
    <row r="57" spans="1:9" x14ac:dyDescent="0.2">
      <c r="A57" s="47" t="str">
        <f t="shared" si="1"/>
        <v>242Marzo2022</v>
      </c>
      <c r="B57" s="47">
        <v>14</v>
      </c>
      <c r="C57" s="47">
        <v>242</v>
      </c>
      <c r="D57" s="47" t="s">
        <v>7</v>
      </c>
      <c r="E57" s="48">
        <v>5810</v>
      </c>
      <c r="F57" s="48">
        <v>7610</v>
      </c>
      <c r="G57" s="56">
        <v>0.76</v>
      </c>
      <c r="H57" s="47" t="s">
        <v>42</v>
      </c>
      <c r="I57" s="47">
        <v>2022</v>
      </c>
    </row>
    <row r="58" spans="1:9" x14ac:dyDescent="0.2">
      <c r="A58" s="47" t="str">
        <f t="shared" si="1"/>
        <v>239Marzo2022</v>
      </c>
      <c r="B58" s="47">
        <v>15</v>
      </c>
      <c r="C58" s="47">
        <v>239</v>
      </c>
      <c r="D58" s="47" t="s">
        <v>32</v>
      </c>
      <c r="E58" s="48">
        <v>6115</v>
      </c>
      <c r="F58" s="48">
        <v>8340</v>
      </c>
      <c r="G58" s="56">
        <v>0.73</v>
      </c>
      <c r="H58" s="47" t="s">
        <v>42</v>
      </c>
      <c r="I58" s="47">
        <v>2022</v>
      </c>
    </row>
    <row r="59" spans="1:9" x14ac:dyDescent="0.2">
      <c r="A59" s="47" t="str">
        <f t="shared" si="1"/>
        <v>240Marzo2022</v>
      </c>
      <c r="B59" s="47">
        <v>16</v>
      </c>
      <c r="C59" s="47">
        <v>240</v>
      </c>
      <c r="D59" s="47" t="s">
        <v>23</v>
      </c>
      <c r="E59" s="48">
        <v>6054</v>
      </c>
      <c r="F59" s="48">
        <v>8250</v>
      </c>
      <c r="G59" s="56">
        <v>0.73</v>
      </c>
      <c r="H59" s="47" t="s">
        <v>42</v>
      </c>
      <c r="I59" s="47">
        <v>2022</v>
      </c>
    </row>
    <row r="60" spans="1:9" x14ac:dyDescent="0.2">
      <c r="A60" s="47" t="str">
        <f t="shared" si="1"/>
        <v>10904Marzo2022</v>
      </c>
      <c r="B60" s="47">
        <v>17</v>
      </c>
      <c r="C60" s="47">
        <v>10904</v>
      </c>
      <c r="D60" s="47" t="s">
        <v>29</v>
      </c>
      <c r="E60" s="48">
        <v>2704</v>
      </c>
      <c r="F60" s="48">
        <v>3776</v>
      </c>
      <c r="G60" s="56">
        <v>0.72</v>
      </c>
      <c r="H60" s="47" t="s">
        <v>42</v>
      </c>
      <c r="I60" s="47">
        <v>2022</v>
      </c>
    </row>
    <row r="61" spans="1:9" x14ac:dyDescent="0.2">
      <c r="A61" s="47" t="str">
        <f t="shared" si="1"/>
        <v>241Marzo2022</v>
      </c>
      <c r="B61" s="47">
        <v>18</v>
      </c>
      <c r="C61" s="47">
        <v>241</v>
      </c>
      <c r="D61" s="47" t="s">
        <v>30</v>
      </c>
      <c r="E61" s="48">
        <v>4003</v>
      </c>
      <c r="F61" s="48">
        <v>5685</v>
      </c>
      <c r="G61" s="56">
        <v>0.7</v>
      </c>
      <c r="H61" s="47" t="s">
        <v>42</v>
      </c>
      <c r="I61" s="47">
        <v>2022</v>
      </c>
    </row>
    <row r="62" spans="1:9" x14ac:dyDescent="0.2">
      <c r="A62" s="47" t="str">
        <f t="shared" si="1"/>
        <v>234Marzo2022</v>
      </c>
      <c r="B62" s="47">
        <v>19</v>
      </c>
      <c r="C62" s="47">
        <v>234</v>
      </c>
      <c r="D62" s="47" t="s">
        <v>18</v>
      </c>
      <c r="E62" s="48">
        <v>7365</v>
      </c>
      <c r="F62" s="48">
        <v>11248</v>
      </c>
      <c r="G62" s="56">
        <v>0.65</v>
      </c>
      <c r="H62" s="47" t="s">
        <v>42</v>
      </c>
      <c r="I62" s="47">
        <v>2022</v>
      </c>
    </row>
    <row r="63" spans="1:9" x14ac:dyDescent="0.2">
      <c r="A63" s="47" t="str">
        <f t="shared" si="1"/>
        <v>246Marzo2022</v>
      </c>
      <c r="B63" s="47">
        <v>20</v>
      </c>
      <c r="C63" s="47">
        <v>246</v>
      </c>
      <c r="D63" s="47" t="s">
        <v>9</v>
      </c>
      <c r="E63" s="48">
        <v>4573</v>
      </c>
      <c r="F63" s="48">
        <v>7355</v>
      </c>
      <c r="G63" s="56">
        <v>0.62</v>
      </c>
      <c r="H63" s="47" t="s">
        <v>42</v>
      </c>
      <c r="I63" s="47">
        <v>2022</v>
      </c>
    </row>
    <row r="64" spans="1:9" x14ac:dyDescent="0.2">
      <c r="A64" s="47" t="str">
        <f t="shared" si="1"/>
        <v>236Marzo2022</v>
      </c>
      <c r="B64" s="47">
        <v>21</v>
      </c>
      <c r="C64" s="47">
        <v>236</v>
      </c>
      <c r="D64" s="47" t="s">
        <v>25</v>
      </c>
      <c r="E64" s="48">
        <v>3272</v>
      </c>
      <c r="F64" s="48">
        <v>7073</v>
      </c>
      <c r="G64" s="56">
        <v>0.46</v>
      </c>
      <c r="H64" s="47" t="s">
        <v>42</v>
      </c>
      <c r="I64" s="47">
        <v>2022</v>
      </c>
    </row>
    <row r="65" spans="1:9" x14ac:dyDescent="0.2">
      <c r="A65" s="47" t="str">
        <f t="shared" si="1"/>
        <v>11117Abril2022</v>
      </c>
      <c r="B65" s="47">
        <v>1</v>
      </c>
      <c r="C65" s="47">
        <v>11117</v>
      </c>
      <c r="D65" s="47" t="s">
        <v>15</v>
      </c>
      <c r="E65" s="48">
        <v>29786</v>
      </c>
      <c r="F65" s="48">
        <v>30898</v>
      </c>
      <c r="G65" s="56">
        <v>0.96</v>
      </c>
      <c r="H65" s="47" t="s">
        <v>43</v>
      </c>
      <c r="I65" s="47">
        <v>2022</v>
      </c>
    </row>
    <row r="66" spans="1:9" x14ac:dyDescent="0.2">
      <c r="A66" s="47" t="str">
        <f t="shared" ref="A66:A97" si="2">C66&amp;H66&amp;I66</f>
        <v>233Abril2022</v>
      </c>
      <c r="B66" s="47">
        <v>2</v>
      </c>
      <c r="C66" s="47">
        <v>233</v>
      </c>
      <c r="D66" s="47" t="s">
        <v>27</v>
      </c>
      <c r="E66" s="48">
        <v>19794</v>
      </c>
      <c r="F66" s="48">
        <v>20825</v>
      </c>
      <c r="G66" s="56">
        <v>0.95</v>
      </c>
      <c r="H66" s="47" t="s">
        <v>43</v>
      </c>
      <c r="I66" s="47">
        <v>2022</v>
      </c>
    </row>
    <row r="67" spans="1:9" x14ac:dyDescent="0.2">
      <c r="A67" s="47" t="str">
        <f t="shared" si="2"/>
        <v>10951Abril2022</v>
      </c>
      <c r="B67" s="47">
        <v>3</v>
      </c>
      <c r="C67" s="47">
        <v>10951</v>
      </c>
      <c r="D67" s="47" t="s">
        <v>24</v>
      </c>
      <c r="E67" s="48">
        <v>6368</v>
      </c>
      <c r="F67" s="48">
        <v>6882</v>
      </c>
      <c r="G67" s="56">
        <v>0.93</v>
      </c>
      <c r="H67" s="47" t="s">
        <v>43</v>
      </c>
      <c r="I67" s="47">
        <v>2022</v>
      </c>
    </row>
    <row r="68" spans="1:9" x14ac:dyDescent="0.2">
      <c r="A68" s="47" t="str">
        <f t="shared" si="2"/>
        <v>1557Abril2022</v>
      </c>
      <c r="B68" s="47">
        <v>4</v>
      </c>
      <c r="C68" s="47">
        <v>1557</v>
      </c>
      <c r="D68" s="47" t="s">
        <v>12</v>
      </c>
      <c r="E68" s="48">
        <v>4941</v>
      </c>
      <c r="F68" s="48">
        <v>5328</v>
      </c>
      <c r="G68" s="56">
        <v>0.93</v>
      </c>
      <c r="H68" s="47" t="s">
        <v>43</v>
      </c>
      <c r="I68" s="47">
        <v>2022</v>
      </c>
    </row>
    <row r="69" spans="1:9" x14ac:dyDescent="0.2">
      <c r="A69" s="47" t="str">
        <f t="shared" si="2"/>
        <v>238Abril2022</v>
      </c>
      <c r="B69" s="47">
        <v>5</v>
      </c>
      <c r="C69" s="47">
        <v>238</v>
      </c>
      <c r="D69" s="47" t="s">
        <v>35</v>
      </c>
      <c r="E69" s="48">
        <v>5824</v>
      </c>
      <c r="F69" s="48">
        <v>6356</v>
      </c>
      <c r="G69" s="56">
        <v>0.92</v>
      </c>
      <c r="H69" s="47" t="s">
        <v>43</v>
      </c>
      <c r="I69" s="47">
        <v>2022</v>
      </c>
    </row>
    <row r="70" spans="1:9" x14ac:dyDescent="0.2">
      <c r="A70" s="47" t="str">
        <f t="shared" si="2"/>
        <v>28745Abril2022</v>
      </c>
      <c r="B70" s="47">
        <v>6</v>
      </c>
      <c r="C70" s="47">
        <v>28745</v>
      </c>
      <c r="D70" s="47" t="s">
        <v>6</v>
      </c>
      <c r="E70" s="48">
        <v>507</v>
      </c>
      <c r="F70" s="48">
        <v>560</v>
      </c>
      <c r="G70" s="56">
        <v>0.91</v>
      </c>
      <c r="H70" s="47" t="s">
        <v>43</v>
      </c>
      <c r="I70" s="47">
        <v>2022</v>
      </c>
    </row>
    <row r="71" spans="1:9" x14ac:dyDescent="0.2">
      <c r="A71" s="47" t="str">
        <f t="shared" si="2"/>
        <v>11931Abril2022</v>
      </c>
      <c r="B71" s="47">
        <v>7</v>
      </c>
      <c r="C71" s="47">
        <v>11931</v>
      </c>
      <c r="D71" s="47" t="s">
        <v>26</v>
      </c>
      <c r="E71" s="48">
        <v>5919</v>
      </c>
      <c r="F71" s="48">
        <v>6652</v>
      </c>
      <c r="G71" s="56">
        <v>0.89</v>
      </c>
      <c r="H71" s="47" t="s">
        <v>43</v>
      </c>
      <c r="I71" s="47">
        <v>2022</v>
      </c>
    </row>
    <row r="72" spans="1:9" x14ac:dyDescent="0.2">
      <c r="A72" s="47" t="str">
        <f t="shared" si="2"/>
        <v>243Abril2022</v>
      </c>
      <c r="B72" s="47">
        <v>8</v>
      </c>
      <c r="C72" s="47">
        <v>243</v>
      </c>
      <c r="D72" s="47" t="s">
        <v>34</v>
      </c>
      <c r="E72" s="48">
        <v>9233</v>
      </c>
      <c r="F72" s="48">
        <v>10322</v>
      </c>
      <c r="G72" s="56">
        <v>0.89</v>
      </c>
      <c r="H72" s="47" t="s">
        <v>43</v>
      </c>
      <c r="I72" s="47">
        <v>2022</v>
      </c>
    </row>
    <row r="73" spans="1:9" x14ac:dyDescent="0.2">
      <c r="A73" s="47" t="str">
        <f t="shared" si="2"/>
        <v>11882Abril2022</v>
      </c>
      <c r="B73" s="47">
        <v>9</v>
      </c>
      <c r="C73" s="47">
        <v>11882</v>
      </c>
      <c r="D73" s="47" t="s">
        <v>22</v>
      </c>
      <c r="E73" s="48">
        <v>3679</v>
      </c>
      <c r="F73" s="48">
        <v>4172</v>
      </c>
      <c r="G73" s="56">
        <v>0.88</v>
      </c>
      <c r="H73" s="47" t="s">
        <v>43</v>
      </c>
      <c r="I73" s="47">
        <v>2022</v>
      </c>
    </row>
    <row r="74" spans="1:9" x14ac:dyDescent="0.2">
      <c r="A74" s="47" t="str">
        <f t="shared" si="2"/>
        <v>11799Abril2022</v>
      </c>
      <c r="B74" s="47">
        <v>10</v>
      </c>
      <c r="C74" s="47">
        <v>11799</v>
      </c>
      <c r="D74" s="47" t="s">
        <v>21</v>
      </c>
      <c r="E74" s="48">
        <v>4517</v>
      </c>
      <c r="F74" s="48">
        <v>5232</v>
      </c>
      <c r="G74" s="56">
        <v>0.86</v>
      </c>
      <c r="H74" s="47" t="s">
        <v>43</v>
      </c>
      <c r="I74" s="47">
        <v>2022</v>
      </c>
    </row>
    <row r="75" spans="1:9" x14ac:dyDescent="0.2">
      <c r="A75" s="47" t="str">
        <f t="shared" si="2"/>
        <v>11116Abril2022</v>
      </c>
      <c r="B75" s="47">
        <v>11</v>
      </c>
      <c r="C75" s="47">
        <v>11116</v>
      </c>
      <c r="D75" s="47" t="s">
        <v>28</v>
      </c>
      <c r="E75" s="48">
        <v>28362</v>
      </c>
      <c r="F75" s="48">
        <v>33383</v>
      </c>
      <c r="G75" s="56">
        <v>0.85</v>
      </c>
      <c r="H75" s="47" t="s">
        <v>43</v>
      </c>
      <c r="I75" s="47">
        <v>2022</v>
      </c>
    </row>
    <row r="76" spans="1:9" x14ac:dyDescent="0.2">
      <c r="A76" s="47" t="str">
        <f t="shared" si="2"/>
        <v>235Abril2022</v>
      </c>
      <c r="B76" s="47">
        <v>12</v>
      </c>
      <c r="C76" s="47">
        <v>235</v>
      </c>
      <c r="D76" s="47" t="s">
        <v>33</v>
      </c>
      <c r="E76" s="48">
        <v>7962</v>
      </c>
      <c r="F76" s="48">
        <v>10665</v>
      </c>
      <c r="G76" s="56">
        <v>0.75</v>
      </c>
      <c r="H76" s="47" t="s">
        <v>43</v>
      </c>
      <c r="I76" s="47">
        <v>2022</v>
      </c>
    </row>
    <row r="77" spans="1:9" x14ac:dyDescent="0.2">
      <c r="A77" s="47" t="str">
        <f t="shared" si="2"/>
        <v>239Abril2022</v>
      </c>
      <c r="B77" s="47">
        <v>13</v>
      </c>
      <c r="C77" s="47">
        <v>239</v>
      </c>
      <c r="D77" s="47" t="s">
        <v>32</v>
      </c>
      <c r="E77" s="48">
        <v>8494</v>
      </c>
      <c r="F77" s="48">
        <v>11493</v>
      </c>
      <c r="G77" s="56">
        <v>0.74</v>
      </c>
      <c r="H77" s="47" t="s">
        <v>43</v>
      </c>
      <c r="I77" s="47">
        <v>2022</v>
      </c>
    </row>
    <row r="78" spans="1:9" x14ac:dyDescent="0.2">
      <c r="A78" s="47" t="str">
        <f t="shared" si="2"/>
        <v>10904Abril2022</v>
      </c>
      <c r="B78" s="47">
        <v>14</v>
      </c>
      <c r="C78" s="47">
        <v>10904</v>
      </c>
      <c r="D78" s="47" t="s">
        <v>29</v>
      </c>
      <c r="E78" s="48">
        <v>3802</v>
      </c>
      <c r="F78" s="48">
        <v>5295</v>
      </c>
      <c r="G78" s="56">
        <v>0.72</v>
      </c>
      <c r="H78" s="47" t="s">
        <v>43</v>
      </c>
      <c r="I78" s="47">
        <v>2022</v>
      </c>
    </row>
    <row r="79" spans="1:9" x14ac:dyDescent="0.2">
      <c r="A79" s="47" t="str">
        <f t="shared" si="2"/>
        <v>237Abril2022</v>
      </c>
      <c r="B79" s="47">
        <v>15</v>
      </c>
      <c r="C79" s="47">
        <v>237</v>
      </c>
      <c r="D79" s="47" t="s">
        <v>31</v>
      </c>
      <c r="E79" s="48">
        <v>8276</v>
      </c>
      <c r="F79" s="48">
        <v>11537</v>
      </c>
      <c r="G79" s="56">
        <v>0.72</v>
      </c>
      <c r="H79" s="47" t="s">
        <v>43</v>
      </c>
      <c r="I79" s="47">
        <v>2022</v>
      </c>
    </row>
    <row r="80" spans="1:9" x14ac:dyDescent="0.2">
      <c r="A80" s="47" t="str">
        <f t="shared" si="2"/>
        <v>240Abril2022</v>
      </c>
      <c r="B80" s="47">
        <v>16</v>
      </c>
      <c r="C80" s="47">
        <v>240</v>
      </c>
      <c r="D80" s="47" t="s">
        <v>23</v>
      </c>
      <c r="E80" s="48">
        <v>7587</v>
      </c>
      <c r="F80" s="48">
        <v>10479</v>
      </c>
      <c r="G80" s="56">
        <v>0.72</v>
      </c>
      <c r="H80" s="47" t="s">
        <v>43</v>
      </c>
      <c r="I80" s="47">
        <v>2022</v>
      </c>
    </row>
    <row r="81" spans="1:9" x14ac:dyDescent="0.2">
      <c r="A81" s="47" t="str">
        <f t="shared" si="2"/>
        <v>234Abril2022</v>
      </c>
      <c r="B81" s="47">
        <v>17</v>
      </c>
      <c r="C81" s="47">
        <v>234</v>
      </c>
      <c r="D81" s="47" t="s">
        <v>18</v>
      </c>
      <c r="E81" s="48">
        <v>10515</v>
      </c>
      <c r="F81" s="48">
        <v>15194</v>
      </c>
      <c r="G81" s="56">
        <v>0.69</v>
      </c>
      <c r="H81" s="47" t="s">
        <v>43</v>
      </c>
      <c r="I81" s="47">
        <v>2022</v>
      </c>
    </row>
    <row r="82" spans="1:9" x14ac:dyDescent="0.2">
      <c r="A82" s="47" t="str">
        <f t="shared" si="2"/>
        <v>241Abril2022</v>
      </c>
      <c r="B82" s="47">
        <v>18</v>
      </c>
      <c r="C82" s="47">
        <v>241</v>
      </c>
      <c r="D82" s="47" t="s">
        <v>30</v>
      </c>
      <c r="E82" s="48">
        <v>5577</v>
      </c>
      <c r="F82" s="48">
        <v>8134</v>
      </c>
      <c r="G82" s="56">
        <v>0.69</v>
      </c>
      <c r="H82" s="47" t="s">
        <v>43</v>
      </c>
      <c r="I82" s="47">
        <v>2022</v>
      </c>
    </row>
    <row r="83" spans="1:9" x14ac:dyDescent="0.2">
      <c r="A83" s="47" t="str">
        <f t="shared" si="2"/>
        <v>242Abril2022</v>
      </c>
      <c r="B83" s="47">
        <v>19</v>
      </c>
      <c r="C83" s="47">
        <v>242</v>
      </c>
      <c r="D83" s="47" t="s">
        <v>7</v>
      </c>
      <c r="E83" s="48">
        <v>6521</v>
      </c>
      <c r="F83" s="48">
        <v>9416</v>
      </c>
      <c r="G83" s="56">
        <v>0.69</v>
      </c>
      <c r="H83" s="47" t="s">
        <v>43</v>
      </c>
      <c r="I83" s="47">
        <v>2022</v>
      </c>
    </row>
    <row r="84" spans="1:9" x14ac:dyDescent="0.2">
      <c r="A84" s="47" t="str">
        <f t="shared" si="2"/>
        <v>236Abril2022</v>
      </c>
      <c r="B84" s="47">
        <v>20</v>
      </c>
      <c r="C84" s="47">
        <v>236</v>
      </c>
      <c r="D84" s="47" t="s">
        <v>25</v>
      </c>
      <c r="E84" s="48">
        <v>6404</v>
      </c>
      <c r="F84" s="48">
        <v>10401</v>
      </c>
      <c r="G84" s="56">
        <v>0.62</v>
      </c>
      <c r="H84" s="47" t="s">
        <v>43</v>
      </c>
      <c r="I84" s="47">
        <v>2022</v>
      </c>
    </row>
    <row r="85" spans="1:9" x14ac:dyDescent="0.2">
      <c r="A85" s="47" t="str">
        <f t="shared" si="2"/>
        <v>246Abril2022</v>
      </c>
      <c r="B85" s="47">
        <v>21</v>
      </c>
      <c r="C85" s="47">
        <v>246</v>
      </c>
      <c r="D85" s="47" t="s">
        <v>9</v>
      </c>
      <c r="E85" s="48">
        <v>5956</v>
      </c>
      <c r="F85" s="48">
        <v>10297</v>
      </c>
      <c r="G85" s="56">
        <v>0.57999999999999996</v>
      </c>
      <c r="H85" s="47" t="s">
        <v>43</v>
      </c>
      <c r="I85" s="47">
        <v>2022</v>
      </c>
    </row>
    <row r="86" spans="1:9" x14ac:dyDescent="0.2">
      <c r="A86" s="47" t="str">
        <f t="shared" si="2"/>
        <v>11117Mayo2022</v>
      </c>
      <c r="B86" s="47">
        <v>1</v>
      </c>
      <c r="C86" s="47">
        <v>11117</v>
      </c>
      <c r="D86" s="47" t="s">
        <v>15</v>
      </c>
      <c r="E86" s="48">
        <v>40515</v>
      </c>
      <c r="F86" s="48">
        <v>42032</v>
      </c>
      <c r="G86" s="56">
        <v>0.96</v>
      </c>
      <c r="H86" s="47" t="s">
        <v>44</v>
      </c>
      <c r="I86" s="47">
        <v>2022</v>
      </c>
    </row>
    <row r="87" spans="1:9" x14ac:dyDescent="0.2">
      <c r="A87" s="47" t="str">
        <f t="shared" si="2"/>
        <v>10951Mayo2022</v>
      </c>
      <c r="B87" s="47">
        <v>2</v>
      </c>
      <c r="C87" s="47">
        <v>10951</v>
      </c>
      <c r="D87" s="47" t="s">
        <v>24</v>
      </c>
      <c r="E87" s="48">
        <v>8144</v>
      </c>
      <c r="F87" s="48">
        <v>8709</v>
      </c>
      <c r="G87" s="56">
        <v>0.94</v>
      </c>
      <c r="H87" s="47" t="s">
        <v>44</v>
      </c>
      <c r="I87" s="47">
        <v>2022</v>
      </c>
    </row>
    <row r="88" spans="1:9" x14ac:dyDescent="0.2">
      <c r="A88" s="47" t="str">
        <f t="shared" si="2"/>
        <v>1557Mayo2022</v>
      </c>
      <c r="B88" s="47">
        <v>3</v>
      </c>
      <c r="C88" s="47">
        <v>1557</v>
      </c>
      <c r="D88" s="47" t="s">
        <v>12</v>
      </c>
      <c r="E88" s="48">
        <v>6688</v>
      </c>
      <c r="F88" s="48">
        <v>7181</v>
      </c>
      <c r="G88" s="56">
        <v>0.93</v>
      </c>
      <c r="H88" s="47" t="s">
        <v>44</v>
      </c>
      <c r="I88" s="47">
        <v>2022</v>
      </c>
    </row>
    <row r="89" spans="1:9" x14ac:dyDescent="0.2">
      <c r="A89" s="47" t="str">
        <f t="shared" si="2"/>
        <v>233Mayo2022</v>
      </c>
      <c r="B89" s="47">
        <v>4</v>
      </c>
      <c r="C89" s="47">
        <v>233</v>
      </c>
      <c r="D89" s="47" t="s">
        <v>27</v>
      </c>
      <c r="E89" s="48">
        <v>26634</v>
      </c>
      <c r="F89" s="48">
        <v>28782</v>
      </c>
      <c r="G89" s="56">
        <v>0.93</v>
      </c>
      <c r="H89" s="47" t="s">
        <v>44</v>
      </c>
      <c r="I89" s="47">
        <v>2022</v>
      </c>
    </row>
    <row r="90" spans="1:9" x14ac:dyDescent="0.2">
      <c r="A90" s="47" t="str">
        <f t="shared" si="2"/>
        <v>238Mayo2022</v>
      </c>
      <c r="B90" s="47">
        <v>5</v>
      </c>
      <c r="C90" s="47">
        <v>238</v>
      </c>
      <c r="D90" s="47" t="s">
        <v>35</v>
      </c>
      <c r="E90" s="48">
        <v>7253</v>
      </c>
      <c r="F90" s="48">
        <v>8041</v>
      </c>
      <c r="G90" s="56">
        <v>0.9</v>
      </c>
      <c r="H90" s="47" t="s">
        <v>44</v>
      </c>
      <c r="I90" s="47">
        <v>2022</v>
      </c>
    </row>
    <row r="91" spans="1:9" x14ac:dyDescent="0.2">
      <c r="A91" s="47" t="str">
        <f t="shared" si="2"/>
        <v>11882Mayo2022</v>
      </c>
      <c r="B91" s="47">
        <v>6</v>
      </c>
      <c r="C91" s="47">
        <v>11882</v>
      </c>
      <c r="D91" s="47" t="s">
        <v>22</v>
      </c>
      <c r="E91" s="48">
        <v>4602</v>
      </c>
      <c r="F91" s="48">
        <v>5197</v>
      </c>
      <c r="G91" s="56">
        <v>0.89</v>
      </c>
      <c r="H91" s="47" t="s">
        <v>44</v>
      </c>
      <c r="I91" s="47">
        <v>2022</v>
      </c>
    </row>
    <row r="92" spans="1:9" x14ac:dyDescent="0.2">
      <c r="A92" s="47" t="str">
        <f t="shared" si="2"/>
        <v>11116Mayo2022</v>
      </c>
      <c r="B92" s="47">
        <v>7</v>
      </c>
      <c r="C92" s="47">
        <v>11116</v>
      </c>
      <c r="D92" s="47" t="s">
        <v>28</v>
      </c>
      <c r="E92" s="48">
        <v>39421</v>
      </c>
      <c r="F92" s="48">
        <v>46091</v>
      </c>
      <c r="G92" s="56">
        <v>0.86</v>
      </c>
      <c r="H92" s="47" t="s">
        <v>44</v>
      </c>
      <c r="I92" s="47">
        <v>2022</v>
      </c>
    </row>
    <row r="93" spans="1:9" x14ac:dyDescent="0.2">
      <c r="A93" s="47" t="str">
        <f t="shared" si="2"/>
        <v>11931Mayo2022</v>
      </c>
      <c r="B93" s="47">
        <v>8</v>
      </c>
      <c r="C93" s="47">
        <v>11931</v>
      </c>
      <c r="D93" s="47" t="s">
        <v>26</v>
      </c>
      <c r="E93" s="48">
        <v>8253</v>
      </c>
      <c r="F93" s="48">
        <v>9623</v>
      </c>
      <c r="G93" s="56">
        <v>0.86</v>
      </c>
      <c r="H93" s="47" t="s">
        <v>44</v>
      </c>
      <c r="I93" s="47">
        <v>2022</v>
      </c>
    </row>
    <row r="94" spans="1:9" x14ac:dyDescent="0.2">
      <c r="A94" s="47" t="str">
        <f t="shared" si="2"/>
        <v>11799Mayo2022</v>
      </c>
      <c r="B94" s="47">
        <v>9</v>
      </c>
      <c r="C94" s="47">
        <v>11799</v>
      </c>
      <c r="D94" s="47" t="s">
        <v>21</v>
      </c>
      <c r="E94" s="48">
        <v>5370</v>
      </c>
      <c r="F94" s="48">
        <v>6326</v>
      </c>
      <c r="G94" s="56">
        <v>0.85</v>
      </c>
      <c r="H94" s="47" t="s">
        <v>44</v>
      </c>
      <c r="I94" s="47">
        <v>2022</v>
      </c>
    </row>
    <row r="95" spans="1:9" x14ac:dyDescent="0.2">
      <c r="A95" s="47" t="str">
        <f t="shared" si="2"/>
        <v>243Mayo2022</v>
      </c>
      <c r="B95" s="47">
        <v>10</v>
      </c>
      <c r="C95" s="47">
        <v>243</v>
      </c>
      <c r="D95" s="47" t="s">
        <v>34</v>
      </c>
      <c r="E95" s="48">
        <v>11253</v>
      </c>
      <c r="F95" s="48">
        <v>13859</v>
      </c>
      <c r="G95" s="56">
        <v>0.81</v>
      </c>
      <c r="H95" s="47" t="s">
        <v>44</v>
      </c>
      <c r="I95" s="47">
        <v>2022</v>
      </c>
    </row>
    <row r="96" spans="1:9" x14ac:dyDescent="0.2">
      <c r="A96" s="47" t="str">
        <f t="shared" si="2"/>
        <v>28745Mayo2022</v>
      </c>
      <c r="B96" s="47">
        <v>11</v>
      </c>
      <c r="C96" s="47">
        <v>28745</v>
      </c>
      <c r="D96" s="47" t="s">
        <v>6</v>
      </c>
      <c r="E96" s="48">
        <v>717</v>
      </c>
      <c r="F96" s="48">
        <v>897</v>
      </c>
      <c r="G96" s="56">
        <v>0.8</v>
      </c>
      <c r="H96" s="47" t="s">
        <v>44</v>
      </c>
      <c r="I96" s="47">
        <v>2022</v>
      </c>
    </row>
    <row r="97" spans="1:9" x14ac:dyDescent="0.2">
      <c r="A97" s="47" t="str">
        <f t="shared" si="2"/>
        <v>240Mayo2022</v>
      </c>
      <c r="B97" s="47">
        <v>12</v>
      </c>
      <c r="C97" s="47">
        <v>240</v>
      </c>
      <c r="D97" s="47" t="s">
        <v>23</v>
      </c>
      <c r="E97" s="48">
        <v>10273</v>
      </c>
      <c r="F97" s="48">
        <v>13375</v>
      </c>
      <c r="G97" s="56">
        <v>0.77</v>
      </c>
      <c r="H97" s="47" t="s">
        <v>44</v>
      </c>
      <c r="I97" s="47">
        <v>2022</v>
      </c>
    </row>
    <row r="98" spans="1:9" x14ac:dyDescent="0.2">
      <c r="A98" s="47" t="str">
        <f t="shared" ref="A98:A129" si="3">C98&amp;H98&amp;I98</f>
        <v>236Mayo2022</v>
      </c>
      <c r="B98" s="47">
        <v>13</v>
      </c>
      <c r="C98" s="47">
        <v>236</v>
      </c>
      <c r="D98" s="47" t="s">
        <v>25</v>
      </c>
      <c r="E98" s="48">
        <v>11983</v>
      </c>
      <c r="F98" s="48">
        <v>16147</v>
      </c>
      <c r="G98" s="56">
        <v>0.74</v>
      </c>
      <c r="H98" s="47" t="s">
        <v>44</v>
      </c>
      <c r="I98" s="47">
        <v>2022</v>
      </c>
    </row>
    <row r="99" spans="1:9" x14ac:dyDescent="0.2">
      <c r="A99" s="47" t="str">
        <f t="shared" si="3"/>
        <v>10904Mayo2022</v>
      </c>
      <c r="B99" s="47">
        <v>14</v>
      </c>
      <c r="C99" s="47">
        <v>10904</v>
      </c>
      <c r="D99" s="47" t="s">
        <v>29</v>
      </c>
      <c r="E99" s="48">
        <v>4938</v>
      </c>
      <c r="F99" s="48">
        <v>6778</v>
      </c>
      <c r="G99" s="56">
        <v>0.73</v>
      </c>
      <c r="H99" s="47" t="s">
        <v>44</v>
      </c>
      <c r="I99" s="47">
        <v>2022</v>
      </c>
    </row>
    <row r="100" spans="1:9" x14ac:dyDescent="0.2">
      <c r="A100" s="47" t="str">
        <f t="shared" si="3"/>
        <v>234Mayo2022</v>
      </c>
      <c r="B100" s="47">
        <v>15</v>
      </c>
      <c r="C100" s="47">
        <v>234</v>
      </c>
      <c r="D100" s="47" t="s">
        <v>18</v>
      </c>
      <c r="E100" s="48">
        <v>14238</v>
      </c>
      <c r="F100" s="48">
        <v>19412</v>
      </c>
      <c r="G100" s="56">
        <v>0.73</v>
      </c>
      <c r="H100" s="47" t="s">
        <v>44</v>
      </c>
      <c r="I100" s="47">
        <v>2022</v>
      </c>
    </row>
    <row r="101" spans="1:9" x14ac:dyDescent="0.2">
      <c r="A101" s="47" t="str">
        <f t="shared" si="3"/>
        <v>239Mayo2022</v>
      </c>
      <c r="B101" s="47">
        <v>16</v>
      </c>
      <c r="C101" s="47">
        <v>239</v>
      </c>
      <c r="D101" s="47" t="s">
        <v>32</v>
      </c>
      <c r="E101" s="48">
        <v>11110</v>
      </c>
      <c r="F101" s="48">
        <v>15211</v>
      </c>
      <c r="G101" s="56">
        <v>0.73</v>
      </c>
      <c r="H101" s="47" t="s">
        <v>44</v>
      </c>
      <c r="I101" s="47">
        <v>2022</v>
      </c>
    </row>
    <row r="102" spans="1:9" x14ac:dyDescent="0.2">
      <c r="A102" s="47" t="str">
        <f t="shared" si="3"/>
        <v>241Mayo2022</v>
      </c>
      <c r="B102" s="47">
        <v>17</v>
      </c>
      <c r="C102" s="47">
        <v>241</v>
      </c>
      <c r="D102" s="47" t="s">
        <v>30</v>
      </c>
      <c r="E102" s="48">
        <v>6942</v>
      </c>
      <c r="F102" s="48">
        <v>10031</v>
      </c>
      <c r="G102" s="56">
        <v>0.69</v>
      </c>
      <c r="H102" s="47" t="s">
        <v>44</v>
      </c>
      <c r="I102" s="47">
        <v>2022</v>
      </c>
    </row>
    <row r="103" spans="1:9" x14ac:dyDescent="0.2">
      <c r="A103" s="47" t="str">
        <f t="shared" si="3"/>
        <v>237Mayo2022</v>
      </c>
      <c r="B103" s="47">
        <v>18</v>
      </c>
      <c r="C103" s="47">
        <v>237</v>
      </c>
      <c r="D103" s="47" t="s">
        <v>31</v>
      </c>
      <c r="E103" s="48">
        <v>8869</v>
      </c>
      <c r="F103" s="48">
        <v>13184</v>
      </c>
      <c r="G103" s="56">
        <v>0.67</v>
      </c>
      <c r="H103" s="47" t="s">
        <v>44</v>
      </c>
      <c r="I103" s="47">
        <v>2022</v>
      </c>
    </row>
    <row r="104" spans="1:9" x14ac:dyDescent="0.2">
      <c r="A104" s="47" t="str">
        <f t="shared" si="3"/>
        <v>235Mayo2022</v>
      </c>
      <c r="B104" s="47">
        <v>19</v>
      </c>
      <c r="C104" s="47">
        <v>235</v>
      </c>
      <c r="D104" s="47" t="s">
        <v>33</v>
      </c>
      <c r="E104" s="48">
        <v>9181</v>
      </c>
      <c r="F104" s="48">
        <v>13894</v>
      </c>
      <c r="G104" s="56">
        <v>0.66</v>
      </c>
      <c r="H104" s="47" t="s">
        <v>44</v>
      </c>
      <c r="I104" s="47">
        <v>2022</v>
      </c>
    </row>
    <row r="105" spans="1:9" x14ac:dyDescent="0.2">
      <c r="A105" s="47" t="str">
        <f t="shared" si="3"/>
        <v>242Mayo2022</v>
      </c>
      <c r="B105" s="47">
        <v>20</v>
      </c>
      <c r="C105" s="47">
        <v>242</v>
      </c>
      <c r="D105" s="47" t="s">
        <v>7</v>
      </c>
      <c r="E105" s="48">
        <v>8247</v>
      </c>
      <c r="F105" s="48">
        <v>13094</v>
      </c>
      <c r="G105" s="56">
        <v>0.63</v>
      </c>
      <c r="H105" s="47" t="s">
        <v>44</v>
      </c>
      <c r="I105" s="47">
        <v>2022</v>
      </c>
    </row>
    <row r="106" spans="1:9" x14ac:dyDescent="0.2">
      <c r="A106" s="47" t="str">
        <f t="shared" si="3"/>
        <v>246Mayo2022</v>
      </c>
      <c r="B106" s="47">
        <v>21</v>
      </c>
      <c r="C106" s="47">
        <v>246</v>
      </c>
      <c r="D106" s="47" t="s">
        <v>9</v>
      </c>
      <c r="E106" s="48">
        <v>8247</v>
      </c>
      <c r="F106" s="48">
        <v>14295</v>
      </c>
      <c r="G106" s="56">
        <v>0.57999999999999996</v>
      </c>
      <c r="H106" s="47" t="s">
        <v>44</v>
      </c>
      <c r="I106" s="47">
        <v>2022</v>
      </c>
    </row>
    <row r="107" spans="1:9" x14ac:dyDescent="0.2">
      <c r="A107" s="47" t="str">
        <f t="shared" si="3"/>
        <v>11117Junio2022</v>
      </c>
      <c r="B107" s="47">
        <v>1</v>
      </c>
      <c r="C107" s="47">
        <v>11117</v>
      </c>
      <c r="D107" s="47" t="s">
        <v>15</v>
      </c>
      <c r="E107" s="48">
        <v>48384</v>
      </c>
      <c r="F107" s="48">
        <v>50135</v>
      </c>
      <c r="G107" s="56">
        <v>0.97</v>
      </c>
      <c r="H107" s="47" t="s">
        <v>45</v>
      </c>
      <c r="I107" s="47">
        <v>2022</v>
      </c>
    </row>
    <row r="108" spans="1:9" x14ac:dyDescent="0.2">
      <c r="A108" s="47" t="str">
        <f t="shared" si="3"/>
        <v>10951Junio2022</v>
      </c>
      <c r="B108" s="47">
        <v>2</v>
      </c>
      <c r="C108" s="47">
        <v>10951</v>
      </c>
      <c r="D108" s="47" t="s">
        <v>24</v>
      </c>
      <c r="E108" s="48">
        <v>9664</v>
      </c>
      <c r="F108" s="48">
        <v>10338</v>
      </c>
      <c r="G108" s="56">
        <v>0.93</v>
      </c>
      <c r="H108" s="47" t="s">
        <v>45</v>
      </c>
      <c r="I108" s="47">
        <v>2022</v>
      </c>
    </row>
    <row r="109" spans="1:9" x14ac:dyDescent="0.2">
      <c r="A109" s="47" t="str">
        <f t="shared" si="3"/>
        <v>1557Junio2022</v>
      </c>
      <c r="B109" s="47">
        <v>3</v>
      </c>
      <c r="C109" s="47">
        <v>1557</v>
      </c>
      <c r="D109" s="47" t="s">
        <v>12</v>
      </c>
      <c r="E109" s="48">
        <v>7934</v>
      </c>
      <c r="F109" s="48">
        <v>8496</v>
      </c>
      <c r="G109" s="56">
        <v>0.93</v>
      </c>
      <c r="H109" s="47" t="s">
        <v>45</v>
      </c>
      <c r="I109" s="47">
        <v>2022</v>
      </c>
    </row>
    <row r="110" spans="1:9" x14ac:dyDescent="0.2">
      <c r="A110" s="47" t="str">
        <f t="shared" si="3"/>
        <v>233Junio2022</v>
      </c>
      <c r="B110" s="47">
        <v>4</v>
      </c>
      <c r="C110" s="47">
        <v>233</v>
      </c>
      <c r="D110" s="47" t="s">
        <v>27</v>
      </c>
      <c r="E110" s="48">
        <v>31986</v>
      </c>
      <c r="F110" s="48">
        <v>35050</v>
      </c>
      <c r="G110" s="56">
        <v>0.91</v>
      </c>
      <c r="H110" s="47" t="s">
        <v>45</v>
      </c>
      <c r="I110" s="47">
        <v>2022</v>
      </c>
    </row>
    <row r="111" spans="1:9" x14ac:dyDescent="0.2">
      <c r="A111" s="47" t="str">
        <f t="shared" si="3"/>
        <v>11882Junio2022</v>
      </c>
      <c r="B111" s="47">
        <v>5</v>
      </c>
      <c r="C111" s="47">
        <v>11882</v>
      </c>
      <c r="D111" s="47" t="s">
        <v>22</v>
      </c>
      <c r="E111" s="48">
        <v>5457</v>
      </c>
      <c r="F111" s="48">
        <v>6104</v>
      </c>
      <c r="G111" s="56">
        <v>0.89</v>
      </c>
      <c r="H111" s="47" t="s">
        <v>45</v>
      </c>
      <c r="I111" s="47">
        <v>2022</v>
      </c>
    </row>
    <row r="112" spans="1:9" x14ac:dyDescent="0.2">
      <c r="A112" s="47" t="str">
        <f t="shared" si="3"/>
        <v>238Junio2022</v>
      </c>
      <c r="B112" s="47">
        <v>6</v>
      </c>
      <c r="C112" s="47">
        <v>238</v>
      </c>
      <c r="D112" s="47" t="s">
        <v>35</v>
      </c>
      <c r="E112" s="48">
        <v>8881</v>
      </c>
      <c r="F112" s="48">
        <v>9990</v>
      </c>
      <c r="G112" s="56">
        <v>0.89</v>
      </c>
      <c r="H112" s="47" t="s">
        <v>45</v>
      </c>
      <c r="I112" s="47">
        <v>2022</v>
      </c>
    </row>
    <row r="113" spans="1:9" x14ac:dyDescent="0.2">
      <c r="A113" s="47" t="str">
        <f t="shared" si="3"/>
        <v>11931Junio2022</v>
      </c>
      <c r="B113" s="47">
        <v>7</v>
      </c>
      <c r="C113" s="47">
        <v>11931</v>
      </c>
      <c r="D113" s="47" t="s">
        <v>26</v>
      </c>
      <c r="E113" s="48">
        <v>10170</v>
      </c>
      <c r="F113" s="48">
        <v>11750</v>
      </c>
      <c r="G113" s="56">
        <v>0.87</v>
      </c>
      <c r="H113" s="47" t="s">
        <v>45</v>
      </c>
      <c r="I113" s="47">
        <v>2022</v>
      </c>
    </row>
    <row r="114" spans="1:9" x14ac:dyDescent="0.2">
      <c r="A114" s="47" t="str">
        <f t="shared" si="3"/>
        <v>11116Junio2022</v>
      </c>
      <c r="B114" s="47">
        <v>8</v>
      </c>
      <c r="C114" s="47">
        <v>11116</v>
      </c>
      <c r="D114" s="47" t="s">
        <v>28</v>
      </c>
      <c r="E114" s="48">
        <v>45652</v>
      </c>
      <c r="F114" s="48">
        <v>53217</v>
      </c>
      <c r="G114" s="56">
        <v>0.86</v>
      </c>
      <c r="H114" s="47" t="s">
        <v>45</v>
      </c>
      <c r="I114" s="47">
        <v>2022</v>
      </c>
    </row>
    <row r="115" spans="1:9" x14ac:dyDescent="0.2">
      <c r="A115" s="47" t="str">
        <f t="shared" si="3"/>
        <v>11799Junio2022</v>
      </c>
      <c r="B115" s="47">
        <v>9</v>
      </c>
      <c r="C115" s="47">
        <v>11799</v>
      </c>
      <c r="D115" s="47" t="s">
        <v>21</v>
      </c>
      <c r="E115" s="48">
        <v>6427</v>
      </c>
      <c r="F115" s="48">
        <v>7810</v>
      </c>
      <c r="G115" s="56">
        <v>0.82</v>
      </c>
      <c r="H115" s="47" t="s">
        <v>45</v>
      </c>
      <c r="I115" s="47">
        <v>2022</v>
      </c>
    </row>
    <row r="116" spans="1:9" x14ac:dyDescent="0.2">
      <c r="A116" s="47" t="str">
        <f t="shared" si="3"/>
        <v>28745Junio2022</v>
      </c>
      <c r="B116" s="47">
        <v>10</v>
      </c>
      <c r="C116" s="47">
        <v>28745</v>
      </c>
      <c r="D116" s="47" t="s">
        <v>6</v>
      </c>
      <c r="E116" s="48">
        <v>934</v>
      </c>
      <c r="F116" s="48">
        <v>1170</v>
      </c>
      <c r="G116" s="56">
        <v>0.8</v>
      </c>
      <c r="H116" s="47" t="s">
        <v>45</v>
      </c>
      <c r="I116" s="47">
        <v>2022</v>
      </c>
    </row>
    <row r="117" spans="1:9" x14ac:dyDescent="0.2">
      <c r="A117" s="47" t="str">
        <f t="shared" si="3"/>
        <v>240Junio2022</v>
      </c>
      <c r="B117" s="47">
        <v>11</v>
      </c>
      <c r="C117" s="47">
        <v>240</v>
      </c>
      <c r="D117" s="47" t="s">
        <v>23</v>
      </c>
      <c r="E117" s="48">
        <v>13041</v>
      </c>
      <c r="F117" s="48">
        <v>16461</v>
      </c>
      <c r="G117" s="56">
        <v>0.79</v>
      </c>
      <c r="H117" s="47" t="s">
        <v>45</v>
      </c>
      <c r="I117" s="47">
        <v>2022</v>
      </c>
    </row>
    <row r="118" spans="1:9" x14ac:dyDescent="0.2">
      <c r="A118" s="47" t="str">
        <f t="shared" si="3"/>
        <v>236Junio2022</v>
      </c>
      <c r="B118" s="47">
        <v>12</v>
      </c>
      <c r="C118" s="47">
        <v>236</v>
      </c>
      <c r="D118" s="47" t="s">
        <v>25</v>
      </c>
      <c r="E118" s="48">
        <v>14431</v>
      </c>
      <c r="F118" s="48">
        <v>18609</v>
      </c>
      <c r="G118" s="56">
        <v>0.78</v>
      </c>
      <c r="H118" s="47" t="s">
        <v>45</v>
      </c>
      <c r="I118" s="47">
        <v>2022</v>
      </c>
    </row>
    <row r="119" spans="1:9" x14ac:dyDescent="0.2">
      <c r="A119" s="47" t="str">
        <f t="shared" si="3"/>
        <v>243Junio2022</v>
      </c>
      <c r="B119" s="47">
        <v>13</v>
      </c>
      <c r="C119" s="47">
        <v>243</v>
      </c>
      <c r="D119" s="47" t="s">
        <v>34</v>
      </c>
      <c r="E119" s="48">
        <v>13211</v>
      </c>
      <c r="F119" s="48">
        <v>17082</v>
      </c>
      <c r="G119" s="56">
        <v>0.77</v>
      </c>
      <c r="H119" s="47" t="s">
        <v>45</v>
      </c>
      <c r="I119" s="47">
        <v>2022</v>
      </c>
    </row>
    <row r="120" spans="1:9" x14ac:dyDescent="0.2">
      <c r="A120" s="47" t="str">
        <f t="shared" si="3"/>
        <v>234Junio2022</v>
      </c>
      <c r="B120" s="47">
        <v>14</v>
      </c>
      <c r="C120" s="47">
        <v>234</v>
      </c>
      <c r="D120" s="47" t="s">
        <v>18</v>
      </c>
      <c r="E120" s="48">
        <v>17712</v>
      </c>
      <c r="F120" s="48">
        <v>23550</v>
      </c>
      <c r="G120" s="56">
        <v>0.75</v>
      </c>
      <c r="H120" s="47" t="s">
        <v>45</v>
      </c>
      <c r="I120" s="47">
        <v>2022</v>
      </c>
    </row>
    <row r="121" spans="1:9" x14ac:dyDescent="0.2">
      <c r="A121" s="47" t="str">
        <f t="shared" si="3"/>
        <v>10904Junio2022</v>
      </c>
      <c r="B121" s="47">
        <v>15</v>
      </c>
      <c r="C121" s="47">
        <v>10904</v>
      </c>
      <c r="D121" s="47" t="s">
        <v>29</v>
      </c>
      <c r="E121" s="48">
        <v>5677</v>
      </c>
      <c r="F121" s="48">
        <v>7802</v>
      </c>
      <c r="G121" s="56">
        <v>0.73</v>
      </c>
      <c r="H121" s="47" t="s">
        <v>45</v>
      </c>
      <c r="I121" s="47">
        <v>2022</v>
      </c>
    </row>
    <row r="122" spans="1:9" x14ac:dyDescent="0.2">
      <c r="A122" s="47" t="str">
        <f t="shared" si="3"/>
        <v>239Junio2022</v>
      </c>
      <c r="B122" s="47">
        <v>16</v>
      </c>
      <c r="C122" s="47">
        <v>239</v>
      </c>
      <c r="D122" s="47" t="s">
        <v>32</v>
      </c>
      <c r="E122" s="48">
        <v>12697</v>
      </c>
      <c r="F122" s="48">
        <v>18576</v>
      </c>
      <c r="G122" s="56">
        <v>0.68</v>
      </c>
      <c r="H122" s="47" t="s">
        <v>45</v>
      </c>
      <c r="I122" s="47">
        <v>2022</v>
      </c>
    </row>
    <row r="123" spans="1:9" x14ac:dyDescent="0.2">
      <c r="A123" s="47" t="str">
        <f t="shared" si="3"/>
        <v>241Junio2022</v>
      </c>
      <c r="B123" s="47">
        <v>17</v>
      </c>
      <c r="C123" s="47">
        <v>241</v>
      </c>
      <c r="D123" s="47" t="s">
        <v>30</v>
      </c>
      <c r="E123" s="48">
        <v>8436</v>
      </c>
      <c r="F123" s="48">
        <v>12316</v>
      </c>
      <c r="G123" s="56">
        <v>0.68</v>
      </c>
      <c r="H123" s="47" t="s">
        <v>45</v>
      </c>
      <c r="I123" s="47">
        <v>2022</v>
      </c>
    </row>
    <row r="124" spans="1:9" x14ac:dyDescent="0.2">
      <c r="A124" s="47" t="str">
        <f t="shared" si="3"/>
        <v>237Junio2022</v>
      </c>
      <c r="B124" s="47">
        <v>18</v>
      </c>
      <c r="C124" s="47">
        <v>237</v>
      </c>
      <c r="D124" s="47" t="s">
        <v>31</v>
      </c>
      <c r="E124" s="48">
        <v>9153</v>
      </c>
      <c r="F124" s="48">
        <v>14854</v>
      </c>
      <c r="G124" s="56">
        <v>0.62</v>
      </c>
      <c r="H124" s="47" t="s">
        <v>45</v>
      </c>
      <c r="I124" s="47">
        <v>2022</v>
      </c>
    </row>
    <row r="125" spans="1:9" x14ac:dyDescent="0.2">
      <c r="A125" s="47" t="str">
        <f t="shared" si="3"/>
        <v>242Junio2022</v>
      </c>
      <c r="B125" s="47">
        <v>19</v>
      </c>
      <c r="C125" s="47">
        <v>242</v>
      </c>
      <c r="D125" s="47" t="s">
        <v>7</v>
      </c>
      <c r="E125" s="48">
        <v>9687</v>
      </c>
      <c r="F125" s="48">
        <v>15807</v>
      </c>
      <c r="G125" s="56">
        <v>0.61</v>
      </c>
      <c r="H125" s="47" t="s">
        <v>45</v>
      </c>
      <c r="I125" s="47">
        <v>2022</v>
      </c>
    </row>
    <row r="126" spans="1:9" x14ac:dyDescent="0.2">
      <c r="A126" s="47" t="str">
        <f t="shared" si="3"/>
        <v>246Junio2022</v>
      </c>
      <c r="B126" s="47">
        <v>20</v>
      </c>
      <c r="C126" s="47">
        <v>246</v>
      </c>
      <c r="D126" s="47" t="s">
        <v>9</v>
      </c>
      <c r="E126" s="48">
        <v>10156</v>
      </c>
      <c r="F126" s="48">
        <v>17077</v>
      </c>
      <c r="G126" s="56">
        <v>0.59</v>
      </c>
      <c r="H126" s="47" t="s">
        <v>45</v>
      </c>
      <c r="I126" s="47">
        <v>2022</v>
      </c>
    </row>
    <row r="127" spans="1:9" x14ac:dyDescent="0.2">
      <c r="A127" s="47" t="str">
        <f t="shared" si="3"/>
        <v>235Junio2022</v>
      </c>
      <c r="B127" s="47">
        <v>21</v>
      </c>
      <c r="C127" s="47">
        <v>235</v>
      </c>
      <c r="D127" s="47" t="s">
        <v>33</v>
      </c>
      <c r="E127" s="48">
        <v>9709</v>
      </c>
      <c r="F127" s="48">
        <v>16699</v>
      </c>
      <c r="G127" s="56">
        <v>0.57999999999999996</v>
      </c>
      <c r="H127" s="47" t="s">
        <v>45</v>
      </c>
      <c r="I127" s="47">
        <v>2022</v>
      </c>
    </row>
    <row r="128" spans="1:9" x14ac:dyDescent="0.2">
      <c r="A128" s="47" t="str">
        <f t="shared" si="3"/>
        <v>11117Julio2022</v>
      </c>
      <c r="B128" s="47">
        <v>1</v>
      </c>
      <c r="C128" s="47">
        <v>11117</v>
      </c>
      <c r="D128" s="47" t="s">
        <v>15</v>
      </c>
      <c r="E128" s="48">
        <v>55984</v>
      </c>
      <c r="F128" s="48">
        <v>57951</v>
      </c>
      <c r="G128" s="56">
        <v>0.97</v>
      </c>
      <c r="H128" s="47" t="s">
        <v>46</v>
      </c>
      <c r="I128" s="47">
        <v>2022</v>
      </c>
    </row>
    <row r="129" spans="1:9" x14ac:dyDescent="0.2">
      <c r="A129" s="47" t="str">
        <f t="shared" si="3"/>
        <v>10951Julio2022</v>
      </c>
      <c r="B129" s="47">
        <v>2</v>
      </c>
      <c r="C129" s="47">
        <v>10951</v>
      </c>
      <c r="D129" s="47" t="s">
        <v>24</v>
      </c>
      <c r="E129" s="48">
        <v>10770</v>
      </c>
      <c r="F129" s="48">
        <v>11499</v>
      </c>
      <c r="G129" s="56">
        <v>0.94</v>
      </c>
      <c r="H129" s="47" t="s">
        <v>46</v>
      </c>
      <c r="I129" s="47">
        <v>2022</v>
      </c>
    </row>
    <row r="130" spans="1:9" x14ac:dyDescent="0.2">
      <c r="A130" s="47" t="str">
        <f t="shared" ref="A130:A161" si="4">C130&amp;H130&amp;I130</f>
        <v>1557Julio2022</v>
      </c>
      <c r="B130" s="47">
        <v>3</v>
      </c>
      <c r="C130" s="47">
        <v>1557</v>
      </c>
      <c r="D130" s="47" t="s">
        <v>12</v>
      </c>
      <c r="E130" s="48">
        <v>9002</v>
      </c>
      <c r="F130" s="48">
        <v>9672</v>
      </c>
      <c r="G130" s="56">
        <v>0.93</v>
      </c>
      <c r="H130" s="47" t="s">
        <v>46</v>
      </c>
      <c r="I130" s="47">
        <v>2022</v>
      </c>
    </row>
    <row r="131" spans="1:9" x14ac:dyDescent="0.2">
      <c r="A131" s="47" t="str">
        <f t="shared" si="4"/>
        <v>233Julio2022</v>
      </c>
      <c r="B131" s="47">
        <v>4</v>
      </c>
      <c r="C131" s="47">
        <v>233</v>
      </c>
      <c r="D131" s="47" t="s">
        <v>27</v>
      </c>
      <c r="E131" s="48">
        <v>36174</v>
      </c>
      <c r="F131" s="48">
        <v>40242</v>
      </c>
      <c r="G131" s="56">
        <v>0.9</v>
      </c>
      <c r="H131" s="47" t="s">
        <v>46</v>
      </c>
      <c r="I131" s="47">
        <v>2022</v>
      </c>
    </row>
    <row r="132" spans="1:9" x14ac:dyDescent="0.2">
      <c r="A132" s="47" t="str">
        <f t="shared" si="4"/>
        <v>11882Julio2022</v>
      </c>
      <c r="B132" s="47">
        <v>5</v>
      </c>
      <c r="C132" s="47">
        <v>11882</v>
      </c>
      <c r="D132" s="47" t="s">
        <v>22</v>
      </c>
      <c r="E132" s="48">
        <v>6230</v>
      </c>
      <c r="F132" s="48">
        <v>6965</v>
      </c>
      <c r="G132" s="56">
        <v>0.89</v>
      </c>
      <c r="H132" s="47" t="s">
        <v>46</v>
      </c>
      <c r="I132" s="47">
        <v>2022</v>
      </c>
    </row>
    <row r="133" spans="1:9" x14ac:dyDescent="0.2">
      <c r="A133" s="47" t="str">
        <f t="shared" si="4"/>
        <v>238Julio2022</v>
      </c>
      <c r="B133" s="47">
        <v>6</v>
      </c>
      <c r="C133" s="47">
        <v>238</v>
      </c>
      <c r="D133" s="47" t="s">
        <v>35</v>
      </c>
      <c r="E133" s="48">
        <v>9804</v>
      </c>
      <c r="F133" s="48">
        <v>11088</v>
      </c>
      <c r="G133" s="56">
        <v>0.88</v>
      </c>
      <c r="H133" s="47" t="s">
        <v>46</v>
      </c>
      <c r="I133" s="47">
        <v>2022</v>
      </c>
    </row>
    <row r="134" spans="1:9" x14ac:dyDescent="0.2">
      <c r="A134" s="47" t="str">
        <f t="shared" si="4"/>
        <v>11931Julio2022</v>
      </c>
      <c r="B134" s="47">
        <v>7</v>
      </c>
      <c r="C134" s="47">
        <v>11931</v>
      </c>
      <c r="D134" s="47" t="s">
        <v>26</v>
      </c>
      <c r="E134" s="48">
        <v>11892</v>
      </c>
      <c r="F134" s="48">
        <v>13641</v>
      </c>
      <c r="G134" s="56">
        <v>0.87</v>
      </c>
      <c r="H134" s="47" t="s">
        <v>46</v>
      </c>
      <c r="I134" s="47">
        <v>2022</v>
      </c>
    </row>
    <row r="135" spans="1:9" x14ac:dyDescent="0.2">
      <c r="A135" s="47" t="str">
        <f t="shared" si="4"/>
        <v>11116Julio2022</v>
      </c>
      <c r="B135" s="47">
        <v>8</v>
      </c>
      <c r="C135" s="47">
        <v>11116</v>
      </c>
      <c r="D135" s="47" t="s">
        <v>28</v>
      </c>
      <c r="E135" s="48">
        <v>52116</v>
      </c>
      <c r="F135" s="48">
        <v>60831</v>
      </c>
      <c r="G135" s="56">
        <v>0.86</v>
      </c>
      <c r="H135" s="47" t="s">
        <v>46</v>
      </c>
      <c r="I135" s="47">
        <v>2022</v>
      </c>
    </row>
    <row r="136" spans="1:9" x14ac:dyDescent="0.2">
      <c r="A136" s="47" t="str">
        <f t="shared" si="4"/>
        <v>11799Julio2022</v>
      </c>
      <c r="B136" s="47">
        <v>9</v>
      </c>
      <c r="C136" s="47">
        <v>11799</v>
      </c>
      <c r="D136" s="47" t="s">
        <v>21</v>
      </c>
      <c r="E136" s="48">
        <v>7193</v>
      </c>
      <c r="F136" s="48">
        <v>8792</v>
      </c>
      <c r="G136" s="56">
        <v>0.82</v>
      </c>
      <c r="H136" s="47" t="s">
        <v>46</v>
      </c>
      <c r="I136" s="47">
        <v>2022</v>
      </c>
    </row>
    <row r="137" spans="1:9" x14ac:dyDescent="0.2">
      <c r="A137" s="47" t="str">
        <f t="shared" si="4"/>
        <v>236Julio2022</v>
      </c>
      <c r="B137" s="47">
        <v>10</v>
      </c>
      <c r="C137" s="47">
        <v>236</v>
      </c>
      <c r="D137" s="47" t="s">
        <v>25</v>
      </c>
      <c r="E137" s="48">
        <v>16715</v>
      </c>
      <c r="F137" s="48">
        <v>20938</v>
      </c>
      <c r="G137" s="56">
        <v>0.8</v>
      </c>
      <c r="H137" s="47" t="s">
        <v>46</v>
      </c>
      <c r="I137" s="47">
        <v>2022</v>
      </c>
    </row>
    <row r="138" spans="1:9" x14ac:dyDescent="0.2">
      <c r="A138" s="47" t="str">
        <f t="shared" si="4"/>
        <v>240Julio2022</v>
      </c>
      <c r="B138" s="47">
        <v>11</v>
      </c>
      <c r="C138" s="47">
        <v>240</v>
      </c>
      <c r="D138" s="47" t="s">
        <v>23</v>
      </c>
      <c r="E138" s="48">
        <v>14200</v>
      </c>
      <c r="F138" s="48">
        <v>18312</v>
      </c>
      <c r="G138" s="56">
        <v>0.78</v>
      </c>
      <c r="H138" s="47" t="s">
        <v>46</v>
      </c>
      <c r="I138" s="47">
        <v>2022</v>
      </c>
    </row>
    <row r="139" spans="1:9" x14ac:dyDescent="0.2">
      <c r="A139" s="47" t="str">
        <f t="shared" si="4"/>
        <v>234Julio2022</v>
      </c>
      <c r="B139" s="47">
        <v>12</v>
      </c>
      <c r="C139" s="47">
        <v>234</v>
      </c>
      <c r="D139" s="47" t="s">
        <v>18</v>
      </c>
      <c r="E139" s="48">
        <v>20633</v>
      </c>
      <c r="F139" s="48">
        <v>26934</v>
      </c>
      <c r="G139" s="56">
        <v>0.77</v>
      </c>
      <c r="H139" s="47" t="s">
        <v>46</v>
      </c>
      <c r="I139" s="47">
        <v>2022</v>
      </c>
    </row>
    <row r="140" spans="1:9" x14ac:dyDescent="0.2">
      <c r="A140" s="47" t="str">
        <f t="shared" si="4"/>
        <v>28745Julio2022</v>
      </c>
      <c r="B140" s="47">
        <v>13</v>
      </c>
      <c r="C140" s="47">
        <v>28745</v>
      </c>
      <c r="D140" s="47" t="s">
        <v>6</v>
      </c>
      <c r="E140" s="48">
        <v>1124</v>
      </c>
      <c r="F140" s="48">
        <v>1456</v>
      </c>
      <c r="G140" s="56">
        <v>0.77</v>
      </c>
      <c r="H140" s="47" t="s">
        <v>46</v>
      </c>
      <c r="I140" s="47">
        <v>2022</v>
      </c>
    </row>
    <row r="141" spans="1:9" x14ac:dyDescent="0.2">
      <c r="A141" s="47" t="str">
        <f t="shared" si="4"/>
        <v>243Julio2022</v>
      </c>
      <c r="B141" s="47">
        <v>14</v>
      </c>
      <c r="C141" s="47">
        <v>243</v>
      </c>
      <c r="D141" s="47" t="s">
        <v>34</v>
      </c>
      <c r="E141" s="48">
        <v>14520</v>
      </c>
      <c r="F141" s="48">
        <v>19620</v>
      </c>
      <c r="G141" s="56">
        <v>0.74</v>
      </c>
      <c r="H141" s="47" t="s">
        <v>46</v>
      </c>
      <c r="I141" s="47">
        <v>2022</v>
      </c>
    </row>
    <row r="142" spans="1:9" x14ac:dyDescent="0.2">
      <c r="A142" s="47" t="str">
        <f t="shared" si="4"/>
        <v>10904Julio2022</v>
      </c>
      <c r="B142" s="47">
        <v>15</v>
      </c>
      <c r="C142" s="47">
        <v>10904</v>
      </c>
      <c r="D142" s="47" t="s">
        <v>29</v>
      </c>
      <c r="E142" s="48">
        <v>6383</v>
      </c>
      <c r="F142" s="48">
        <v>8965</v>
      </c>
      <c r="G142" s="56">
        <v>0.71</v>
      </c>
      <c r="H142" s="47" t="s">
        <v>46</v>
      </c>
      <c r="I142" s="47">
        <v>2022</v>
      </c>
    </row>
    <row r="143" spans="1:9" x14ac:dyDescent="0.2">
      <c r="A143" s="47" t="str">
        <f t="shared" si="4"/>
        <v>241Julio2022</v>
      </c>
      <c r="B143" s="47">
        <v>16</v>
      </c>
      <c r="C143" s="47">
        <v>241</v>
      </c>
      <c r="D143" s="47" t="s">
        <v>30</v>
      </c>
      <c r="E143" s="48">
        <v>9512</v>
      </c>
      <c r="F143" s="48">
        <v>13923</v>
      </c>
      <c r="G143" s="56">
        <v>0.68</v>
      </c>
      <c r="H143" s="47" t="s">
        <v>46</v>
      </c>
      <c r="I143" s="47">
        <v>2022</v>
      </c>
    </row>
    <row r="144" spans="1:9" x14ac:dyDescent="0.2">
      <c r="A144" s="47" t="str">
        <f t="shared" si="4"/>
        <v>239Julio2022</v>
      </c>
      <c r="B144" s="47">
        <v>17</v>
      </c>
      <c r="C144" s="47">
        <v>239</v>
      </c>
      <c r="D144" s="47" t="s">
        <v>32</v>
      </c>
      <c r="E144" s="48">
        <v>14298</v>
      </c>
      <c r="F144" s="48">
        <v>21986</v>
      </c>
      <c r="G144" s="56">
        <v>0.65</v>
      </c>
      <c r="H144" s="47" t="s">
        <v>46</v>
      </c>
      <c r="I144" s="47">
        <v>2022</v>
      </c>
    </row>
    <row r="145" spans="1:9" x14ac:dyDescent="0.2">
      <c r="A145" s="47" t="str">
        <f t="shared" si="4"/>
        <v>242Julio2022</v>
      </c>
      <c r="B145" s="47">
        <v>18</v>
      </c>
      <c r="C145" s="47">
        <v>242</v>
      </c>
      <c r="D145" s="47" t="s">
        <v>7</v>
      </c>
      <c r="E145" s="48">
        <v>11310</v>
      </c>
      <c r="F145" s="48">
        <v>18473</v>
      </c>
      <c r="G145" s="56">
        <v>0.61</v>
      </c>
      <c r="H145" s="47" t="s">
        <v>46</v>
      </c>
      <c r="I145" s="47">
        <v>2022</v>
      </c>
    </row>
    <row r="146" spans="1:9" x14ac:dyDescent="0.2">
      <c r="A146" s="47" t="str">
        <f t="shared" si="4"/>
        <v>246Julio2022</v>
      </c>
      <c r="B146" s="47">
        <v>19</v>
      </c>
      <c r="C146" s="47">
        <v>246</v>
      </c>
      <c r="D146" s="47" t="s">
        <v>9</v>
      </c>
      <c r="E146" s="48">
        <v>11499</v>
      </c>
      <c r="F146" s="48">
        <v>19270</v>
      </c>
      <c r="G146" s="56">
        <v>0.6</v>
      </c>
      <c r="H146" s="47" t="s">
        <v>46</v>
      </c>
      <c r="I146" s="47">
        <v>2022</v>
      </c>
    </row>
    <row r="147" spans="1:9" x14ac:dyDescent="0.2">
      <c r="A147" s="47" t="str">
        <f t="shared" si="4"/>
        <v>235Julio2022</v>
      </c>
      <c r="B147" s="47">
        <v>20</v>
      </c>
      <c r="C147" s="47">
        <v>235</v>
      </c>
      <c r="D147" s="47" t="s">
        <v>33</v>
      </c>
      <c r="E147" s="48">
        <v>10654</v>
      </c>
      <c r="F147" s="48">
        <v>18633</v>
      </c>
      <c r="G147" s="56">
        <v>0.56999999999999995</v>
      </c>
      <c r="H147" s="47" t="s">
        <v>46</v>
      </c>
      <c r="I147" s="47">
        <v>2022</v>
      </c>
    </row>
    <row r="148" spans="1:9" x14ac:dyDescent="0.2">
      <c r="A148" s="47" t="str">
        <f t="shared" si="4"/>
        <v>237Julio2022</v>
      </c>
      <c r="B148" s="47">
        <v>21</v>
      </c>
      <c r="C148" s="47">
        <v>237</v>
      </c>
      <c r="D148" s="47" t="s">
        <v>31</v>
      </c>
      <c r="E148" s="48">
        <v>9675</v>
      </c>
      <c r="F148" s="48">
        <v>18693</v>
      </c>
      <c r="G148" s="56">
        <v>0.52</v>
      </c>
      <c r="H148" s="47" t="s">
        <v>46</v>
      </c>
      <c r="I148" s="47">
        <v>2022</v>
      </c>
    </row>
    <row r="149" spans="1:9" x14ac:dyDescent="0.2">
      <c r="A149" s="47" t="str">
        <f t="shared" si="4"/>
        <v>11117Agosto2022</v>
      </c>
      <c r="B149" s="47">
        <v>1</v>
      </c>
      <c r="C149" s="47">
        <v>11117</v>
      </c>
      <c r="D149" s="47" t="s">
        <v>15</v>
      </c>
      <c r="E149" s="48">
        <v>64206</v>
      </c>
      <c r="F149" s="48">
        <v>66332</v>
      </c>
      <c r="G149" s="56">
        <v>0.97</v>
      </c>
      <c r="H149" s="47" t="s">
        <v>47</v>
      </c>
      <c r="I149" s="47">
        <v>2022</v>
      </c>
    </row>
    <row r="150" spans="1:9" x14ac:dyDescent="0.2">
      <c r="A150" s="47" t="str">
        <f t="shared" si="4"/>
        <v>10951Agosto2022</v>
      </c>
      <c r="B150" s="47">
        <v>2</v>
      </c>
      <c r="C150" s="47">
        <v>10951</v>
      </c>
      <c r="D150" s="47" t="s">
        <v>24</v>
      </c>
      <c r="E150" s="48">
        <v>12289</v>
      </c>
      <c r="F150" s="48">
        <v>13211</v>
      </c>
      <c r="G150" s="56">
        <v>0.93</v>
      </c>
      <c r="H150" s="47" t="s">
        <v>47</v>
      </c>
      <c r="I150" s="47">
        <v>2022</v>
      </c>
    </row>
    <row r="151" spans="1:9" x14ac:dyDescent="0.2">
      <c r="A151" s="47" t="str">
        <f t="shared" si="4"/>
        <v>1557Agosto2022</v>
      </c>
      <c r="B151" s="47">
        <v>3</v>
      </c>
      <c r="C151" s="47">
        <v>1557</v>
      </c>
      <c r="D151" s="47" t="s">
        <v>12</v>
      </c>
      <c r="E151" s="48">
        <v>9942</v>
      </c>
      <c r="F151" s="48">
        <v>10860</v>
      </c>
      <c r="G151" s="56">
        <v>0.92</v>
      </c>
      <c r="H151" s="47" t="s">
        <v>47</v>
      </c>
      <c r="I151" s="47">
        <v>2022</v>
      </c>
    </row>
    <row r="152" spans="1:9" x14ac:dyDescent="0.2">
      <c r="A152" s="47" t="str">
        <f t="shared" si="4"/>
        <v>11882Agosto2022</v>
      </c>
      <c r="B152" s="47">
        <v>4</v>
      </c>
      <c r="C152" s="47">
        <v>11882</v>
      </c>
      <c r="D152" s="47" t="s">
        <v>22</v>
      </c>
      <c r="E152" s="48">
        <v>7007</v>
      </c>
      <c r="F152" s="48">
        <v>7806</v>
      </c>
      <c r="G152" s="56">
        <v>0.9</v>
      </c>
      <c r="H152" s="47" t="s">
        <v>47</v>
      </c>
      <c r="I152" s="47">
        <v>2022</v>
      </c>
    </row>
    <row r="153" spans="1:9" x14ac:dyDescent="0.2">
      <c r="A153" s="47" t="str">
        <f t="shared" si="4"/>
        <v>11931Agosto2022</v>
      </c>
      <c r="B153" s="47">
        <v>5</v>
      </c>
      <c r="C153" s="47">
        <v>11931</v>
      </c>
      <c r="D153" s="47" t="s">
        <v>26</v>
      </c>
      <c r="E153" s="48">
        <v>13586</v>
      </c>
      <c r="F153" s="48">
        <v>15564</v>
      </c>
      <c r="G153" s="56">
        <v>0.87</v>
      </c>
      <c r="H153" s="47" t="s">
        <v>47</v>
      </c>
      <c r="I153" s="47">
        <v>2022</v>
      </c>
    </row>
    <row r="154" spans="1:9" x14ac:dyDescent="0.2">
      <c r="A154" s="47" t="str">
        <f t="shared" si="4"/>
        <v>238Agosto2022</v>
      </c>
      <c r="B154" s="47">
        <v>6</v>
      </c>
      <c r="C154" s="47">
        <v>238</v>
      </c>
      <c r="D154" s="47" t="s">
        <v>35</v>
      </c>
      <c r="E154" s="48">
        <v>10999</v>
      </c>
      <c r="F154" s="48">
        <v>12677</v>
      </c>
      <c r="G154" s="56">
        <v>0.87</v>
      </c>
      <c r="H154" s="47" t="s">
        <v>47</v>
      </c>
      <c r="I154" s="47">
        <v>2022</v>
      </c>
    </row>
    <row r="155" spans="1:9" x14ac:dyDescent="0.2">
      <c r="A155" s="47" t="str">
        <f t="shared" si="4"/>
        <v>11116Agosto2022</v>
      </c>
      <c r="B155" s="47">
        <v>7</v>
      </c>
      <c r="C155" s="47">
        <v>11116</v>
      </c>
      <c r="D155" s="47" t="s">
        <v>28</v>
      </c>
      <c r="E155" s="48">
        <v>58915</v>
      </c>
      <c r="F155" s="48">
        <v>68457</v>
      </c>
      <c r="G155" s="56">
        <v>0.86</v>
      </c>
      <c r="H155" s="47" t="s">
        <v>47</v>
      </c>
      <c r="I155" s="47">
        <v>2022</v>
      </c>
    </row>
    <row r="156" spans="1:9" x14ac:dyDescent="0.2">
      <c r="A156" s="47" t="str">
        <f t="shared" si="4"/>
        <v>233Agosto2022</v>
      </c>
      <c r="B156" s="47">
        <v>8</v>
      </c>
      <c r="C156" s="47">
        <v>233</v>
      </c>
      <c r="D156" s="47" t="s">
        <v>27</v>
      </c>
      <c r="E156" s="48">
        <v>40562</v>
      </c>
      <c r="F156" s="48">
        <v>47003</v>
      </c>
      <c r="G156" s="56">
        <v>0.86</v>
      </c>
      <c r="H156" s="47" t="s">
        <v>47</v>
      </c>
      <c r="I156" s="47">
        <v>2022</v>
      </c>
    </row>
    <row r="157" spans="1:9" x14ac:dyDescent="0.2">
      <c r="A157" s="47" t="str">
        <f t="shared" si="4"/>
        <v>11799Agosto2022</v>
      </c>
      <c r="B157" s="47">
        <v>9</v>
      </c>
      <c r="C157" s="47">
        <v>11799</v>
      </c>
      <c r="D157" s="47" t="s">
        <v>21</v>
      </c>
      <c r="E157" s="48">
        <v>8178</v>
      </c>
      <c r="F157" s="48">
        <v>10025</v>
      </c>
      <c r="G157" s="56">
        <v>0.82</v>
      </c>
      <c r="H157" s="47" t="s">
        <v>47</v>
      </c>
      <c r="I157" s="47">
        <v>2022</v>
      </c>
    </row>
    <row r="158" spans="1:9" x14ac:dyDescent="0.2">
      <c r="A158" s="47" t="str">
        <f t="shared" si="4"/>
        <v>236Agosto2022</v>
      </c>
      <c r="B158" s="47">
        <v>10</v>
      </c>
      <c r="C158" s="47">
        <v>236</v>
      </c>
      <c r="D158" s="47" t="s">
        <v>25</v>
      </c>
      <c r="E158" s="48">
        <v>19784</v>
      </c>
      <c r="F158" s="48">
        <v>24039</v>
      </c>
      <c r="G158" s="56">
        <v>0.82</v>
      </c>
      <c r="H158" s="47" t="s">
        <v>47</v>
      </c>
      <c r="I158" s="47">
        <v>2022</v>
      </c>
    </row>
    <row r="159" spans="1:9" x14ac:dyDescent="0.2">
      <c r="A159" s="47" t="str">
        <f t="shared" si="4"/>
        <v>234Agosto2022</v>
      </c>
      <c r="B159" s="47">
        <v>11</v>
      </c>
      <c r="C159" s="47">
        <v>234</v>
      </c>
      <c r="D159" s="47" t="s">
        <v>18</v>
      </c>
      <c r="E159" s="48">
        <v>23956</v>
      </c>
      <c r="F159" s="48">
        <v>30748</v>
      </c>
      <c r="G159" s="56">
        <v>0.78</v>
      </c>
      <c r="H159" s="47" t="s">
        <v>47</v>
      </c>
      <c r="I159" s="47">
        <v>2022</v>
      </c>
    </row>
    <row r="160" spans="1:9" x14ac:dyDescent="0.2">
      <c r="A160" s="47" t="str">
        <f t="shared" si="4"/>
        <v>240Agosto2022</v>
      </c>
      <c r="B160" s="47">
        <v>12</v>
      </c>
      <c r="C160" s="47">
        <v>240</v>
      </c>
      <c r="D160" s="47" t="s">
        <v>23</v>
      </c>
      <c r="E160" s="48">
        <v>16503</v>
      </c>
      <c r="F160" s="48">
        <v>21053</v>
      </c>
      <c r="G160" s="56">
        <v>0.78</v>
      </c>
      <c r="H160" s="47" t="s">
        <v>47</v>
      </c>
      <c r="I160" s="47">
        <v>2022</v>
      </c>
    </row>
    <row r="161" spans="1:9" x14ac:dyDescent="0.2">
      <c r="A161" s="47" t="str">
        <f t="shared" si="4"/>
        <v>28745Agosto2022</v>
      </c>
      <c r="B161" s="47">
        <v>13</v>
      </c>
      <c r="C161" s="47">
        <v>28745</v>
      </c>
      <c r="D161" s="47" t="s">
        <v>6</v>
      </c>
      <c r="E161" s="48">
        <v>1198</v>
      </c>
      <c r="F161" s="48">
        <v>1568</v>
      </c>
      <c r="G161" s="56">
        <v>0.76</v>
      </c>
      <c r="H161" s="47" t="s">
        <v>47</v>
      </c>
      <c r="I161" s="47">
        <v>2022</v>
      </c>
    </row>
    <row r="162" spans="1:9" x14ac:dyDescent="0.2">
      <c r="A162" s="47" t="str">
        <f t="shared" ref="A162:A225" si="5">C162&amp;H162&amp;I162</f>
        <v>10904Agosto2022</v>
      </c>
      <c r="B162" s="47">
        <v>14</v>
      </c>
      <c r="C162" s="47">
        <v>10904</v>
      </c>
      <c r="D162" s="47" t="s">
        <v>29</v>
      </c>
      <c r="E162" s="48">
        <v>7512</v>
      </c>
      <c r="F162" s="48">
        <v>10646</v>
      </c>
      <c r="G162" s="56">
        <v>0.71</v>
      </c>
      <c r="H162" s="47" t="s">
        <v>47</v>
      </c>
      <c r="I162" s="47">
        <v>2022</v>
      </c>
    </row>
    <row r="163" spans="1:9" x14ac:dyDescent="0.2">
      <c r="A163" s="47" t="str">
        <f t="shared" si="5"/>
        <v>243Agosto2022</v>
      </c>
      <c r="B163" s="47">
        <v>15</v>
      </c>
      <c r="C163" s="47">
        <v>243</v>
      </c>
      <c r="D163" s="47" t="s">
        <v>34</v>
      </c>
      <c r="E163" s="48">
        <v>16264</v>
      </c>
      <c r="F163" s="48">
        <v>22900</v>
      </c>
      <c r="G163" s="56">
        <v>0.71</v>
      </c>
      <c r="H163" s="47" t="s">
        <v>47</v>
      </c>
      <c r="I163" s="47">
        <v>2022</v>
      </c>
    </row>
    <row r="164" spans="1:9" x14ac:dyDescent="0.2">
      <c r="A164" s="47" t="str">
        <f t="shared" si="5"/>
        <v>241Agosto2022</v>
      </c>
      <c r="B164" s="47">
        <v>16</v>
      </c>
      <c r="C164" s="47">
        <v>241</v>
      </c>
      <c r="D164" s="47" t="s">
        <v>30</v>
      </c>
      <c r="E164" s="48">
        <v>10630</v>
      </c>
      <c r="F164" s="48">
        <v>15666</v>
      </c>
      <c r="G164" s="56">
        <v>0.68</v>
      </c>
      <c r="H164" s="47" t="s">
        <v>47</v>
      </c>
      <c r="I164" s="47">
        <v>2022</v>
      </c>
    </row>
    <row r="165" spans="1:9" x14ac:dyDescent="0.2">
      <c r="A165" s="47" t="str">
        <f t="shared" si="5"/>
        <v>239Agosto2022</v>
      </c>
      <c r="B165" s="47">
        <v>17</v>
      </c>
      <c r="C165" s="47">
        <v>239</v>
      </c>
      <c r="D165" s="47" t="s">
        <v>32</v>
      </c>
      <c r="E165" s="48">
        <v>15971</v>
      </c>
      <c r="F165" s="48">
        <v>25605</v>
      </c>
      <c r="G165" s="56">
        <v>0.62</v>
      </c>
      <c r="H165" s="47" t="s">
        <v>47</v>
      </c>
      <c r="I165" s="47">
        <v>2022</v>
      </c>
    </row>
    <row r="166" spans="1:9" x14ac:dyDescent="0.2">
      <c r="A166" s="47" t="str">
        <f t="shared" si="5"/>
        <v>242Agosto2022</v>
      </c>
      <c r="B166" s="47">
        <v>18</v>
      </c>
      <c r="C166" s="47">
        <v>242</v>
      </c>
      <c r="D166" s="47" t="s">
        <v>7</v>
      </c>
      <c r="E166" s="48">
        <v>13669</v>
      </c>
      <c r="F166" s="48">
        <v>22283</v>
      </c>
      <c r="G166" s="56">
        <v>0.61</v>
      </c>
      <c r="H166" s="47" t="s">
        <v>47</v>
      </c>
      <c r="I166" s="47">
        <v>2022</v>
      </c>
    </row>
    <row r="167" spans="1:9" x14ac:dyDescent="0.2">
      <c r="A167" s="47" t="str">
        <f t="shared" si="5"/>
        <v>246Agosto2022</v>
      </c>
      <c r="B167" s="47">
        <v>19</v>
      </c>
      <c r="C167" s="47">
        <v>246</v>
      </c>
      <c r="D167" s="47" t="s">
        <v>9</v>
      </c>
      <c r="E167" s="48">
        <v>13055</v>
      </c>
      <c r="F167" s="48">
        <v>22282</v>
      </c>
      <c r="G167" s="56">
        <v>0.59</v>
      </c>
      <c r="H167" s="47" t="s">
        <v>47</v>
      </c>
      <c r="I167" s="47">
        <v>2022</v>
      </c>
    </row>
    <row r="168" spans="1:9" x14ac:dyDescent="0.2">
      <c r="A168" s="47" t="str">
        <f t="shared" si="5"/>
        <v>235Agosto2022</v>
      </c>
      <c r="B168" s="47">
        <v>20</v>
      </c>
      <c r="C168" s="47">
        <v>235</v>
      </c>
      <c r="D168" s="47" t="s">
        <v>33</v>
      </c>
      <c r="E168" s="48">
        <v>11909</v>
      </c>
      <c r="F168" s="48">
        <v>20817</v>
      </c>
      <c r="G168" s="56">
        <v>0.56999999999999995</v>
      </c>
      <c r="H168" s="47" t="s">
        <v>47</v>
      </c>
      <c r="I168" s="47">
        <v>2022</v>
      </c>
    </row>
    <row r="169" spans="1:9" x14ac:dyDescent="0.2">
      <c r="A169" s="47" t="str">
        <f t="shared" si="5"/>
        <v>237Agosto2022</v>
      </c>
      <c r="B169" s="47">
        <v>21</v>
      </c>
      <c r="C169" s="47">
        <v>237</v>
      </c>
      <c r="D169" s="47" t="s">
        <v>31</v>
      </c>
      <c r="E169" s="48">
        <v>10472</v>
      </c>
      <c r="F169" s="48">
        <v>22888</v>
      </c>
      <c r="G169" s="56">
        <v>0.46</v>
      </c>
      <c r="H169" s="47" t="s">
        <v>47</v>
      </c>
      <c r="I169" s="47">
        <v>2022</v>
      </c>
    </row>
    <row r="170" spans="1:9" x14ac:dyDescent="0.2">
      <c r="A170" s="47" t="str">
        <f t="shared" si="5"/>
        <v>11117Septiembre2022</v>
      </c>
      <c r="B170" s="47">
        <v>1</v>
      </c>
      <c r="C170" s="47">
        <v>11117</v>
      </c>
      <c r="D170" s="47" t="s">
        <v>15</v>
      </c>
      <c r="E170" s="48">
        <v>71699</v>
      </c>
      <c r="F170" s="48">
        <v>74142</v>
      </c>
      <c r="G170" s="56">
        <v>0.97</v>
      </c>
      <c r="H170" s="47" t="s">
        <v>48</v>
      </c>
      <c r="I170" s="47">
        <v>2022</v>
      </c>
    </row>
    <row r="171" spans="1:9" x14ac:dyDescent="0.2">
      <c r="A171" s="47" t="str">
        <f t="shared" si="5"/>
        <v>10951Septiembre2022</v>
      </c>
      <c r="B171" s="47">
        <v>2</v>
      </c>
      <c r="C171" s="47">
        <v>10951</v>
      </c>
      <c r="D171" s="47" t="s">
        <v>24</v>
      </c>
      <c r="E171" s="48">
        <v>13472</v>
      </c>
      <c r="F171" s="48">
        <v>14653</v>
      </c>
      <c r="G171" s="56">
        <v>0.92</v>
      </c>
      <c r="H171" s="47" t="s">
        <v>48</v>
      </c>
      <c r="I171" s="47">
        <v>2022</v>
      </c>
    </row>
    <row r="172" spans="1:9" x14ac:dyDescent="0.2">
      <c r="A172" s="47" t="str">
        <f t="shared" si="5"/>
        <v>1557Septiembre2022</v>
      </c>
      <c r="B172" s="47">
        <v>3</v>
      </c>
      <c r="C172" s="47">
        <v>1557</v>
      </c>
      <c r="D172" s="47" t="s">
        <v>12</v>
      </c>
      <c r="E172" s="48">
        <v>10865</v>
      </c>
      <c r="F172" s="48">
        <v>11981</v>
      </c>
      <c r="G172" s="56">
        <v>0.91</v>
      </c>
      <c r="H172" s="47" t="s">
        <v>48</v>
      </c>
      <c r="I172" s="47">
        <v>2022</v>
      </c>
    </row>
    <row r="173" spans="1:9" x14ac:dyDescent="0.2">
      <c r="A173" s="47" t="str">
        <f t="shared" si="5"/>
        <v>11882Septiembre2022</v>
      </c>
      <c r="B173" s="47">
        <v>4</v>
      </c>
      <c r="C173" s="47">
        <v>11882</v>
      </c>
      <c r="D173" s="47" t="s">
        <v>22</v>
      </c>
      <c r="E173" s="48">
        <v>7873</v>
      </c>
      <c r="F173" s="48">
        <v>8810</v>
      </c>
      <c r="G173" s="56">
        <v>0.89</v>
      </c>
      <c r="H173" s="47" t="s">
        <v>48</v>
      </c>
      <c r="I173" s="47">
        <v>2022</v>
      </c>
    </row>
    <row r="174" spans="1:9" x14ac:dyDescent="0.2">
      <c r="A174" s="47" t="str">
        <f t="shared" si="5"/>
        <v>11931Septiembre2022</v>
      </c>
      <c r="B174" s="47">
        <v>5</v>
      </c>
      <c r="C174" s="47">
        <v>11931</v>
      </c>
      <c r="D174" s="47" t="s">
        <v>26</v>
      </c>
      <c r="E174" s="48">
        <v>15256</v>
      </c>
      <c r="F174" s="48">
        <v>17490</v>
      </c>
      <c r="G174" s="56">
        <v>0.87</v>
      </c>
      <c r="H174" s="47" t="s">
        <v>48</v>
      </c>
      <c r="I174" s="47">
        <v>2022</v>
      </c>
    </row>
    <row r="175" spans="1:9" x14ac:dyDescent="0.2">
      <c r="A175" s="47" t="str">
        <f t="shared" si="5"/>
        <v>11116Septiembre2022</v>
      </c>
      <c r="B175" s="47">
        <v>6</v>
      </c>
      <c r="C175" s="47">
        <v>11116</v>
      </c>
      <c r="D175" s="47" t="s">
        <v>28</v>
      </c>
      <c r="E175" s="48">
        <v>65819</v>
      </c>
      <c r="F175" s="48">
        <v>76448</v>
      </c>
      <c r="G175" s="56">
        <v>0.86</v>
      </c>
      <c r="H175" s="47" t="s">
        <v>48</v>
      </c>
      <c r="I175" s="47">
        <v>2022</v>
      </c>
    </row>
    <row r="176" spans="1:9" x14ac:dyDescent="0.2">
      <c r="A176" s="47" t="str">
        <f t="shared" si="5"/>
        <v>233Septiembre2022</v>
      </c>
      <c r="B176" s="47">
        <v>7</v>
      </c>
      <c r="C176" s="47">
        <v>233</v>
      </c>
      <c r="D176" s="47" t="s">
        <v>27</v>
      </c>
      <c r="E176" s="48">
        <v>45306</v>
      </c>
      <c r="F176" s="48">
        <v>53185</v>
      </c>
      <c r="G176" s="56">
        <v>0.85</v>
      </c>
      <c r="H176" s="47" t="s">
        <v>48</v>
      </c>
      <c r="I176" s="47">
        <v>2022</v>
      </c>
    </row>
    <row r="177" spans="1:9" x14ac:dyDescent="0.2">
      <c r="A177" s="47" t="str">
        <f t="shared" si="5"/>
        <v>238Septiembre2022</v>
      </c>
      <c r="B177" s="47">
        <v>8</v>
      </c>
      <c r="C177" s="47">
        <v>238</v>
      </c>
      <c r="D177" s="47" t="s">
        <v>35</v>
      </c>
      <c r="E177" s="48">
        <v>12202</v>
      </c>
      <c r="F177" s="48">
        <v>14436</v>
      </c>
      <c r="G177" s="56">
        <v>0.85</v>
      </c>
      <c r="H177" s="47" t="s">
        <v>48</v>
      </c>
      <c r="I177" s="47">
        <v>2022</v>
      </c>
    </row>
    <row r="178" spans="1:9" x14ac:dyDescent="0.2">
      <c r="A178" s="47" t="str">
        <f t="shared" si="5"/>
        <v>236Septiembre2022</v>
      </c>
      <c r="B178" s="47">
        <v>9</v>
      </c>
      <c r="C178" s="47">
        <v>236</v>
      </c>
      <c r="D178" s="47" t="s">
        <v>25</v>
      </c>
      <c r="E178" s="48">
        <v>22474</v>
      </c>
      <c r="F178" s="48">
        <v>26756</v>
      </c>
      <c r="G178" s="56">
        <v>0.84</v>
      </c>
      <c r="H178" s="47" t="s">
        <v>48</v>
      </c>
      <c r="I178" s="47">
        <v>2022</v>
      </c>
    </row>
    <row r="179" spans="1:9" x14ac:dyDescent="0.2">
      <c r="A179" s="47" t="str">
        <f t="shared" si="5"/>
        <v>11799Septiembre2022</v>
      </c>
      <c r="B179" s="47">
        <v>10</v>
      </c>
      <c r="C179" s="47">
        <v>11799</v>
      </c>
      <c r="D179" s="47" t="s">
        <v>21</v>
      </c>
      <c r="E179" s="48">
        <v>9155</v>
      </c>
      <c r="F179" s="48">
        <v>11103</v>
      </c>
      <c r="G179" s="56">
        <v>0.82</v>
      </c>
      <c r="H179" s="47" t="s">
        <v>48</v>
      </c>
      <c r="I179" s="47">
        <v>2022</v>
      </c>
    </row>
    <row r="180" spans="1:9" x14ac:dyDescent="0.2">
      <c r="A180" s="47" t="str">
        <f t="shared" si="5"/>
        <v>234Septiembre2022</v>
      </c>
      <c r="B180" s="47">
        <v>11</v>
      </c>
      <c r="C180" s="47">
        <v>234</v>
      </c>
      <c r="D180" s="47" t="s">
        <v>18</v>
      </c>
      <c r="E180" s="48">
        <v>27171</v>
      </c>
      <c r="F180" s="48">
        <v>34381</v>
      </c>
      <c r="G180" s="56">
        <v>0.79</v>
      </c>
      <c r="H180" s="47" t="s">
        <v>48</v>
      </c>
      <c r="I180" s="47">
        <v>2022</v>
      </c>
    </row>
    <row r="181" spans="1:9" x14ac:dyDescent="0.2">
      <c r="A181" s="47" t="str">
        <f t="shared" si="5"/>
        <v>240Septiembre2022</v>
      </c>
      <c r="B181" s="47">
        <v>12</v>
      </c>
      <c r="C181" s="47">
        <v>240</v>
      </c>
      <c r="D181" s="47" t="s">
        <v>23</v>
      </c>
      <c r="E181" s="48">
        <v>18510</v>
      </c>
      <c r="F181" s="48">
        <v>23313</v>
      </c>
      <c r="G181" s="56">
        <v>0.79</v>
      </c>
      <c r="H181" s="47" t="s">
        <v>48</v>
      </c>
      <c r="I181" s="47">
        <v>2022</v>
      </c>
    </row>
    <row r="182" spans="1:9" x14ac:dyDescent="0.2">
      <c r="A182" s="47" t="str">
        <f t="shared" si="5"/>
        <v>28745Septiembre2022</v>
      </c>
      <c r="B182" s="47">
        <v>13</v>
      </c>
      <c r="C182" s="47">
        <v>28745</v>
      </c>
      <c r="D182" s="47" t="s">
        <v>6</v>
      </c>
      <c r="E182" s="48">
        <v>1301</v>
      </c>
      <c r="F182" s="48">
        <v>1704</v>
      </c>
      <c r="G182" s="56">
        <v>0.76</v>
      </c>
      <c r="H182" s="47" t="s">
        <v>48</v>
      </c>
      <c r="I182" s="47">
        <v>2022</v>
      </c>
    </row>
    <row r="183" spans="1:9" x14ac:dyDescent="0.2">
      <c r="A183" s="47" t="str">
        <f t="shared" si="5"/>
        <v>10904Septiembre2022</v>
      </c>
      <c r="B183" s="47">
        <v>14</v>
      </c>
      <c r="C183" s="47">
        <v>10904</v>
      </c>
      <c r="D183" s="47" t="s">
        <v>29</v>
      </c>
      <c r="E183" s="48">
        <v>8304</v>
      </c>
      <c r="F183" s="48">
        <v>11745</v>
      </c>
      <c r="G183" s="56">
        <v>0.71</v>
      </c>
      <c r="H183" s="47" t="s">
        <v>48</v>
      </c>
      <c r="I183" s="47">
        <v>2022</v>
      </c>
    </row>
    <row r="184" spans="1:9" x14ac:dyDescent="0.2">
      <c r="A184" s="47" t="str">
        <f t="shared" si="5"/>
        <v>243Septiembre2022</v>
      </c>
      <c r="B184" s="47">
        <v>15</v>
      </c>
      <c r="C184" s="47">
        <v>243</v>
      </c>
      <c r="D184" s="47" t="s">
        <v>34</v>
      </c>
      <c r="E184" s="48">
        <v>17893</v>
      </c>
      <c r="F184" s="48">
        <v>25188</v>
      </c>
      <c r="G184" s="56">
        <v>0.71</v>
      </c>
      <c r="H184" s="47" t="s">
        <v>48</v>
      </c>
      <c r="I184" s="47">
        <v>2022</v>
      </c>
    </row>
    <row r="185" spans="1:9" x14ac:dyDescent="0.2">
      <c r="A185" s="47" t="str">
        <f t="shared" si="5"/>
        <v>241Septiembre2022</v>
      </c>
      <c r="B185" s="47">
        <v>16</v>
      </c>
      <c r="C185" s="47">
        <v>241</v>
      </c>
      <c r="D185" s="47" t="s">
        <v>30</v>
      </c>
      <c r="E185" s="48">
        <v>12380</v>
      </c>
      <c r="F185" s="48">
        <v>17963</v>
      </c>
      <c r="G185" s="56">
        <v>0.69</v>
      </c>
      <c r="H185" s="47" t="s">
        <v>48</v>
      </c>
      <c r="I185" s="47">
        <v>2022</v>
      </c>
    </row>
    <row r="186" spans="1:9" x14ac:dyDescent="0.2">
      <c r="A186" s="47" t="str">
        <f t="shared" si="5"/>
        <v>242Septiembre2022</v>
      </c>
      <c r="B186" s="47">
        <v>17</v>
      </c>
      <c r="C186" s="47">
        <v>242</v>
      </c>
      <c r="D186" s="47" t="s">
        <v>7</v>
      </c>
      <c r="E186" s="48">
        <v>16600</v>
      </c>
      <c r="F186" s="48">
        <v>25592</v>
      </c>
      <c r="G186" s="56">
        <v>0.65</v>
      </c>
      <c r="H186" s="47" t="s">
        <v>48</v>
      </c>
      <c r="I186" s="47">
        <v>2022</v>
      </c>
    </row>
    <row r="187" spans="1:9" x14ac:dyDescent="0.2">
      <c r="A187" s="47" t="str">
        <f t="shared" si="5"/>
        <v>239Septiembre2022</v>
      </c>
      <c r="B187" s="47">
        <v>18</v>
      </c>
      <c r="C187" s="47">
        <v>239</v>
      </c>
      <c r="D187" s="47" t="s">
        <v>32</v>
      </c>
      <c r="E187" s="48">
        <v>18158</v>
      </c>
      <c r="F187" s="48">
        <v>28558</v>
      </c>
      <c r="G187" s="56">
        <v>0.64</v>
      </c>
      <c r="H187" s="47" t="s">
        <v>48</v>
      </c>
      <c r="I187" s="47">
        <v>2022</v>
      </c>
    </row>
    <row r="188" spans="1:9" x14ac:dyDescent="0.2">
      <c r="A188" s="47" t="str">
        <f t="shared" si="5"/>
        <v>246Septiembre2022</v>
      </c>
      <c r="B188" s="47">
        <v>19</v>
      </c>
      <c r="C188" s="47">
        <v>246</v>
      </c>
      <c r="D188" s="47" t="s">
        <v>9</v>
      </c>
      <c r="E188" s="48">
        <v>14206</v>
      </c>
      <c r="F188" s="48">
        <v>23753</v>
      </c>
      <c r="G188" s="56">
        <v>0.6</v>
      </c>
      <c r="H188" s="47" t="s">
        <v>48</v>
      </c>
      <c r="I188" s="47">
        <v>2022</v>
      </c>
    </row>
    <row r="189" spans="1:9" x14ac:dyDescent="0.2">
      <c r="A189" s="47" t="str">
        <f t="shared" si="5"/>
        <v>235Septiembre2022</v>
      </c>
      <c r="B189" s="47">
        <v>20</v>
      </c>
      <c r="C189" s="47">
        <v>235</v>
      </c>
      <c r="D189" s="47" t="s">
        <v>33</v>
      </c>
      <c r="E189" s="48">
        <v>12906</v>
      </c>
      <c r="F189" s="48">
        <v>23143</v>
      </c>
      <c r="G189" s="56">
        <v>0.56000000000000005</v>
      </c>
      <c r="H189" s="47" t="s">
        <v>48</v>
      </c>
      <c r="I189" s="47">
        <v>2022</v>
      </c>
    </row>
    <row r="190" spans="1:9" x14ac:dyDescent="0.2">
      <c r="A190" s="47" t="str">
        <f t="shared" si="5"/>
        <v>237Septiembre2022</v>
      </c>
      <c r="B190" s="47">
        <v>21</v>
      </c>
      <c r="C190" s="47">
        <v>237</v>
      </c>
      <c r="D190" s="47" t="s">
        <v>31</v>
      </c>
      <c r="E190" s="48">
        <v>13391</v>
      </c>
      <c r="F190" s="48">
        <v>28828</v>
      </c>
      <c r="G190" s="56">
        <v>0.46</v>
      </c>
      <c r="H190" s="47" t="s">
        <v>48</v>
      </c>
      <c r="I190" s="47">
        <v>2022</v>
      </c>
    </row>
    <row r="191" spans="1:9" x14ac:dyDescent="0.2">
      <c r="A191" s="47" t="str">
        <f t="shared" si="5"/>
        <v>11117Octubre2022</v>
      </c>
      <c r="B191" s="47">
        <v>1</v>
      </c>
      <c r="C191" s="47">
        <v>11117</v>
      </c>
      <c r="D191" s="47" t="s">
        <v>15</v>
      </c>
      <c r="E191" s="48">
        <v>80283</v>
      </c>
      <c r="F191" s="48">
        <v>82988</v>
      </c>
      <c r="G191" s="56">
        <f>E191/F191</f>
        <v>0.96740492601339956</v>
      </c>
      <c r="H191" s="47" t="s">
        <v>49</v>
      </c>
      <c r="I191" s="47">
        <v>2022</v>
      </c>
    </row>
    <row r="192" spans="1:9" x14ac:dyDescent="0.2">
      <c r="A192" s="47" t="str">
        <f t="shared" si="5"/>
        <v>10951Octubre2022</v>
      </c>
      <c r="B192" s="47">
        <v>2</v>
      </c>
      <c r="C192" s="47">
        <v>10951</v>
      </c>
      <c r="D192" s="47" t="s">
        <v>24</v>
      </c>
      <c r="E192" s="48">
        <v>14621</v>
      </c>
      <c r="F192" s="48">
        <v>15884</v>
      </c>
      <c r="G192" s="56">
        <f t="shared" ref="G192:G255" si="6">E192/F192</f>
        <v>0.92048602367161925</v>
      </c>
      <c r="H192" s="47" t="s">
        <v>49</v>
      </c>
      <c r="I192" s="47">
        <v>2022</v>
      </c>
    </row>
    <row r="193" spans="1:9" x14ac:dyDescent="0.2">
      <c r="A193" s="47" t="str">
        <f t="shared" si="5"/>
        <v>1557Octubre2022</v>
      </c>
      <c r="B193" s="47">
        <v>3</v>
      </c>
      <c r="C193" s="47">
        <v>1557</v>
      </c>
      <c r="D193" s="47" t="s">
        <v>12</v>
      </c>
      <c r="E193" s="48">
        <v>11922</v>
      </c>
      <c r="F193" s="48">
        <v>13170</v>
      </c>
      <c r="G193" s="56">
        <f t="shared" si="6"/>
        <v>0.90523917995444192</v>
      </c>
      <c r="H193" s="47" t="s">
        <v>49</v>
      </c>
      <c r="I193" s="47">
        <v>2022</v>
      </c>
    </row>
    <row r="194" spans="1:9" x14ac:dyDescent="0.2">
      <c r="A194" s="47" t="str">
        <f t="shared" si="5"/>
        <v>11882Octubre2022</v>
      </c>
      <c r="B194" s="47">
        <v>4</v>
      </c>
      <c r="C194" s="47">
        <v>11882</v>
      </c>
      <c r="D194" s="47" t="s">
        <v>22</v>
      </c>
      <c r="E194" s="48">
        <v>8714</v>
      </c>
      <c r="F194" s="48">
        <v>9764</v>
      </c>
      <c r="G194" s="56">
        <f t="shared" si="6"/>
        <v>0.89246210569438755</v>
      </c>
      <c r="H194" s="47" t="s">
        <v>49</v>
      </c>
      <c r="I194" s="47">
        <v>2022</v>
      </c>
    </row>
    <row r="195" spans="1:9" x14ac:dyDescent="0.2">
      <c r="A195" s="47" t="str">
        <f t="shared" si="5"/>
        <v>11931Octubre2022</v>
      </c>
      <c r="B195" s="47">
        <v>5</v>
      </c>
      <c r="C195" s="47">
        <v>11931</v>
      </c>
      <c r="D195" s="47" t="s">
        <v>26</v>
      </c>
      <c r="E195" s="48">
        <v>17042</v>
      </c>
      <c r="F195" s="48">
        <v>19618</v>
      </c>
      <c r="G195" s="56">
        <f t="shared" si="6"/>
        <v>0.86869201753491687</v>
      </c>
      <c r="H195" s="47" t="s">
        <v>49</v>
      </c>
      <c r="I195" s="47">
        <v>2022</v>
      </c>
    </row>
    <row r="196" spans="1:9" x14ac:dyDescent="0.2">
      <c r="A196" s="47" t="str">
        <f t="shared" si="5"/>
        <v>11116Octubre2022</v>
      </c>
      <c r="B196" s="47">
        <v>6</v>
      </c>
      <c r="C196" s="47">
        <v>11116</v>
      </c>
      <c r="D196" s="47" t="s">
        <v>28</v>
      </c>
      <c r="E196" s="48">
        <v>72567</v>
      </c>
      <c r="F196" s="48">
        <v>84314</v>
      </c>
      <c r="G196" s="56">
        <f t="shared" si="6"/>
        <v>0.86067556989349336</v>
      </c>
      <c r="H196" s="47" t="s">
        <v>49</v>
      </c>
      <c r="I196" s="47">
        <v>2022</v>
      </c>
    </row>
    <row r="197" spans="1:9" x14ac:dyDescent="0.2">
      <c r="A197" s="47" t="str">
        <f t="shared" si="5"/>
        <v>233Octubre2022</v>
      </c>
      <c r="B197" s="47">
        <v>7</v>
      </c>
      <c r="C197" s="47">
        <v>233</v>
      </c>
      <c r="D197" s="47" t="s">
        <v>27</v>
      </c>
      <c r="E197" s="48">
        <v>50088</v>
      </c>
      <c r="F197" s="48">
        <v>59212</v>
      </c>
      <c r="G197" s="56">
        <f t="shared" si="6"/>
        <v>0.84590961291630073</v>
      </c>
      <c r="H197" s="47" t="s">
        <v>49</v>
      </c>
      <c r="I197" s="47">
        <v>2022</v>
      </c>
    </row>
    <row r="198" spans="1:9" x14ac:dyDescent="0.2">
      <c r="A198" s="47" t="str">
        <f t="shared" si="5"/>
        <v>236Octubre2022</v>
      </c>
      <c r="B198" s="47">
        <v>8</v>
      </c>
      <c r="C198" s="47">
        <v>236</v>
      </c>
      <c r="D198" s="47" t="s">
        <v>25</v>
      </c>
      <c r="E198" s="48">
        <v>24765</v>
      </c>
      <c r="F198" s="48">
        <v>29052</v>
      </c>
      <c r="G198" s="56">
        <f t="shared" si="6"/>
        <v>0.85243700950020651</v>
      </c>
      <c r="H198" s="47" t="s">
        <v>49</v>
      </c>
      <c r="I198" s="47">
        <v>2022</v>
      </c>
    </row>
    <row r="199" spans="1:9" x14ac:dyDescent="0.2">
      <c r="A199" s="47" t="str">
        <f t="shared" si="5"/>
        <v>11799Octubre2022</v>
      </c>
      <c r="B199" s="47">
        <v>9</v>
      </c>
      <c r="C199" s="47">
        <v>11799</v>
      </c>
      <c r="D199" s="47" t="s">
        <v>21</v>
      </c>
      <c r="E199" s="48">
        <v>10535</v>
      </c>
      <c r="F199" s="48">
        <v>12578</v>
      </c>
      <c r="G199" s="56">
        <f t="shared" si="6"/>
        <v>0.83757354110351412</v>
      </c>
      <c r="H199" s="47" t="s">
        <v>49</v>
      </c>
      <c r="I199" s="47">
        <v>2022</v>
      </c>
    </row>
    <row r="200" spans="1:9" x14ac:dyDescent="0.2">
      <c r="A200" s="47" t="str">
        <f t="shared" si="5"/>
        <v>238Octubre2022</v>
      </c>
      <c r="B200" s="47">
        <v>10</v>
      </c>
      <c r="C200" s="47">
        <v>238</v>
      </c>
      <c r="D200" s="47" t="s">
        <v>35</v>
      </c>
      <c r="E200" s="48">
        <v>12582</v>
      </c>
      <c r="F200" s="48">
        <v>15018</v>
      </c>
      <c r="G200" s="56">
        <f t="shared" si="6"/>
        <v>0.8377946464242908</v>
      </c>
      <c r="H200" s="47" t="s">
        <v>49</v>
      </c>
      <c r="I200" s="47">
        <v>2022</v>
      </c>
    </row>
    <row r="201" spans="1:9" x14ac:dyDescent="0.2">
      <c r="A201" s="47" t="str">
        <f t="shared" si="5"/>
        <v>234Octubre2022</v>
      </c>
      <c r="B201" s="47">
        <v>11</v>
      </c>
      <c r="C201" s="47">
        <v>234</v>
      </c>
      <c r="D201" s="47" t="s">
        <v>18</v>
      </c>
      <c r="E201" s="48">
        <v>30264</v>
      </c>
      <c r="F201" s="48">
        <v>37791</v>
      </c>
      <c r="G201" s="56">
        <f t="shared" si="6"/>
        <v>0.80082559339525283</v>
      </c>
      <c r="H201" s="47" t="s">
        <v>49</v>
      </c>
      <c r="I201" s="47">
        <v>2022</v>
      </c>
    </row>
    <row r="202" spans="1:9" x14ac:dyDescent="0.2">
      <c r="A202" s="47" t="str">
        <f t="shared" si="5"/>
        <v>240Octubre2022</v>
      </c>
      <c r="B202" s="47">
        <v>12</v>
      </c>
      <c r="C202" s="47">
        <v>240</v>
      </c>
      <c r="D202" s="47" t="s">
        <v>23</v>
      </c>
      <c r="E202" s="48">
        <v>20448</v>
      </c>
      <c r="F202" s="48">
        <v>25887</v>
      </c>
      <c r="G202" s="56">
        <f t="shared" si="6"/>
        <v>0.78989454166183803</v>
      </c>
      <c r="H202" s="47" t="s">
        <v>49</v>
      </c>
      <c r="I202" s="47">
        <v>2022</v>
      </c>
    </row>
    <row r="203" spans="1:9" x14ac:dyDescent="0.2">
      <c r="A203" s="47" t="str">
        <f t="shared" si="5"/>
        <v>28745Octubre2022</v>
      </c>
      <c r="B203" s="47">
        <v>13</v>
      </c>
      <c r="C203" s="47">
        <v>28745</v>
      </c>
      <c r="D203" s="47" t="s">
        <v>6</v>
      </c>
      <c r="E203" s="48">
        <v>1572</v>
      </c>
      <c r="F203" s="48">
        <v>2121</v>
      </c>
      <c r="G203" s="56">
        <f t="shared" si="6"/>
        <v>0.7411598302687411</v>
      </c>
      <c r="H203" s="47" t="s">
        <v>49</v>
      </c>
      <c r="I203" s="47">
        <v>2022</v>
      </c>
    </row>
    <row r="204" spans="1:9" x14ac:dyDescent="0.2">
      <c r="A204" s="47" t="str">
        <f t="shared" si="5"/>
        <v>243Octubre2022</v>
      </c>
      <c r="B204" s="47">
        <v>14</v>
      </c>
      <c r="C204" s="47">
        <v>243</v>
      </c>
      <c r="D204" s="47" t="s">
        <v>34</v>
      </c>
      <c r="E204" s="48">
        <v>19912</v>
      </c>
      <c r="F204" s="48">
        <v>28360</v>
      </c>
      <c r="G204" s="56">
        <f t="shared" si="6"/>
        <v>0.70211565585331448</v>
      </c>
      <c r="H204" s="47" t="s">
        <v>49</v>
      </c>
      <c r="I204" s="47">
        <v>2022</v>
      </c>
    </row>
    <row r="205" spans="1:9" x14ac:dyDescent="0.2">
      <c r="A205" s="47" t="str">
        <f t="shared" si="5"/>
        <v>241Octubre2022</v>
      </c>
      <c r="B205" s="47">
        <v>15</v>
      </c>
      <c r="C205" s="47">
        <v>241</v>
      </c>
      <c r="D205" s="47" t="s">
        <v>30</v>
      </c>
      <c r="E205" s="48">
        <v>14379</v>
      </c>
      <c r="F205" s="48">
        <v>20915</v>
      </c>
      <c r="G205" s="56">
        <f t="shared" si="6"/>
        <v>0.68749701171408084</v>
      </c>
      <c r="H205" s="47" t="s">
        <v>49</v>
      </c>
      <c r="I205" s="47">
        <v>2022</v>
      </c>
    </row>
    <row r="206" spans="1:9" x14ac:dyDescent="0.2">
      <c r="A206" s="47" t="str">
        <f t="shared" si="5"/>
        <v>10904Octubre2022</v>
      </c>
      <c r="B206" s="47">
        <v>16</v>
      </c>
      <c r="C206" s="47">
        <v>10904</v>
      </c>
      <c r="D206" s="47" t="s">
        <v>29</v>
      </c>
      <c r="E206" s="48">
        <v>9432</v>
      </c>
      <c r="F206" s="48">
        <v>13771</v>
      </c>
      <c r="G206" s="56">
        <f t="shared" si="6"/>
        <v>0.68491758042262729</v>
      </c>
      <c r="H206" s="47" t="s">
        <v>49</v>
      </c>
      <c r="I206" s="47">
        <v>2022</v>
      </c>
    </row>
    <row r="207" spans="1:9" x14ac:dyDescent="0.2">
      <c r="A207" s="47" t="str">
        <f t="shared" si="5"/>
        <v>242Octubre2022</v>
      </c>
      <c r="B207" s="47">
        <v>17</v>
      </c>
      <c r="C207" s="47">
        <v>242</v>
      </c>
      <c r="D207" s="47" t="s">
        <v>7</v>
      </c>
      <c r="E207" s="48">
        <v>19499</v>
      </c>
      <c r="F207" s="48">
        <v>28573</v>
      </c>
      <c r="G207" s="56">
        <f t="shared" si="6"/>
        <v>0.68242746648934305</v>
      </c>
      <c r="H207" s="47" t="s">
        <v>49</v>
      </c>
      <c r="I207" s="47">
        <v>2022</v>
      </c>
    </row>
    <row r="208" spans="1:9" x14ac:dyDescent="0.2">
      <c r="A208" s="47" t="str">
        <f t="shared" si="5"/>
        <v>239Octubre2022</v>
      </c>
      <c r="B208" s="47">
        <v>18</v>
      </c>
      <c r="C208" s="47">
        <v>239</v>
      </c>
      <c r="D208" s="47" t="s">
        <v>32</v>
      </c>
      <c r="E208" s="48">
        <v>19987</v>
      </c>
      <c r="F208" s="48">
        <v>31795</v>
      </c>
      <c r="G208" s="56">
        <f t="shared" si="6"/>
        <v>0.62862085233527287</v>
      </c>
      <c r="H208" s="47" t="s">
        <v>49</v>
      </c>
      <c r="I208" s="47">
        <v>2022</v>
      </c>
    </row>
    <row r="209" spans="1:9" x14ac:dyDescent="0.2">
      <c r="A209" s="47" t="str">
        <f t="shared" si="5"/>
        <v>246Octubre2022</v>
      </c>
      <c r="B209" s="47">
        <v>19</v>
      </c>
      <c r="C209" s="47">
        <v>246</v>
      </c>
      <c r="D209" s="47" t="s">
        <v>9</v>
      </c>
      <c r="E209" s="48">
        <v>16240</v>
      </c>
      <c r="F209" s="48">
        <v>27645</v>
      </c>
      <c r="G209" s="56">
        <f t="shared" si="6"/>
        <v>0.58744800144691622</v>
      </c>
      <c r="H209" s="47" t="s">
        <v>49</v>
      </c>
      <c r="I209" s="47">
        <v>2022</v>
      </c>
    </row>
    <row r="210" spans="1:9" x14ac:dyDescent="0.2">
      <c r="A210" s="47" t="str">
        <f t="shared" si="5"/>
        <v>235Octubre2022</v>
      </c>
      <c r="B210" s="47">
        <v>20</v>
      </c>
      <c r="C210" s="47">
        <v>235</v>
      </c>
      <c r="D210" s="47" t="s">
        <v>33</v>
      </c>
      <c r="E210" s="48">
        <v>13819</v>
      </c>
      <c r="F210" s="48">
        <v>25004</v>
      </c>
      <c r="G210" s="56">
        <f t="shared" si="6"/>
        <v>0.55267157254839228</v>
      </c>
      <c r="H210" s="47" t="s">
        <v>49</v>
      </c>
      <c r="I210" s="47">
        <v>2022</v>
      </c>
    </row>
    <row r="211" spans="1:9" x14ac:dyDescent="0.2">
      <c r="A211" s="47" t="str">
        <f t="shared" si="5"/>
        <v>237Octubre2022</v>
      </c>
      <c r="B211" s="47">
        <v>21</v>
      </c>
      <c r="C211" s="47">
        <v>237</v>
      </c>
      <c r="D211" s="47" t="s">
        <v>31</v>
      </c>
      <c r="E211" s="48">
        <v>16875</v>
      </c>
      <c r="F211" s="48">
        <v>33082</v>
      </c>
      <c r="G211" s="56">
        <f t="shared" si="6"/>
        <v>0.51009612478084754</v>
      </c>
      <c r="H211" s="47" t="s">
        <v>49</v>
      </c>
      <c r="I211" s="47">
        <v>2022</v>
      </c>
    </row>
    <row r="212" spans="1:9" x14ac:dyDescent="0.2">
      <c r="A212" s="47" t="str">
        <f t="shared" si="5"/>
        <v>11117Noviembre2022</v>
      </c>
      <c r="B212" s="13">
        <v>1</v>
      </c>
      <c r="C212" s="13">
        <v>11117</v>
      </c>
      <c r="D212" s="14" t="s">
        <v>15</v>
      </c>
      <c r="E212" s="13">
        <v>83748</v>
      </c>
      <c r="F212" s="13">
        <v>86603</v>
      </c>
      <c r="G212" s="56">
        <f t="shared" si="6"/>
        <v>0.96703347459094946</v>
      </c>
      <c r="H212" s="47" t="s">
        <v>50</v>
      </c>
      <c r="I212" s="47">
        <v>2022</v>
      </c>
    </row>
    <row r="213" spans="1:9" x14ac:dyDescent="0.2">
      <c r="A213" s="47" t="str">
        <f t="shared" si="5"/>
        <v>10951Noviembre2022</v>
      </c>
      <c r="B213" s="13">
        <v>2</v>
      </c>
      <c r="C213" s="13">
        <v>10951</v>
      </c>
      <c r="D213" s="14" t="s">
        <v>24</v>
      </c>
      <c r="E213" s="13">
        <v>15620</v>
      </c>
      <c r="F213" s="13">
        <v>17110</v>
      </c>
      <c r="G213" s="56">
        <f t="shared" si="6"/>
        <v>0.91291642314436006</v>
      </c>
      <c r="H213" s="47" t="s">
        <v>50</v>
      </c>
      <c r="I213" s="47">
        <v>2022</v>
      </c>
    </row>
    <row r="214" spans="1:9" x14ac:dyDescent="0.2">
      <c r="A214" s="47" t="str">
        <f t="shared" si="5"/>
        <v>1557Noviembre2022</v>
      </c>
      <c r="B214" s="13">
        <v>3</v>
      </c>
      <c r="C214" s="13">
        <v>1557</v>
      </c>
      <c r="D214" s="14" t="s">
        <v>12</v>
      </c>
      <c r="E214" s="13">
        <v>12823</v>
      </c>
      <c r="F214" s="13">
        <v>14087</v>
      </c>
      <c r="G214" s="56">
        <f t="shared" si="6"/>
        <v>0.91027188187690777</v>
      </c>
      <c r="H214" s="47" t="s">
        <v>50</v>
      </c>
      <c r="I214" s="47">
        <v>2022</v>
      </c>
    </row>
    <row r="215" spans="1:9" x14ac:dyDescent="0.2">
      <c r="A215" s="47" t="str">
        <f t="shared" si="5"/>
        <v>11882Noviembre2022</v>
      </c>
      <c r="B215" s="13">
        <v>4</v>
      </c>
      <c r="C215" s="13">
        <v>11882</v>
      </c>
      <c r="D215" s="14" t="s">
        <v>22</v>
      </c>
      <c r="E215" s="13">
        <v>9086</v>
      </c>
      <c r="F215" s="13">
        <v>10179</v>
      </c>
      <c r="G215" s="56">
        <f t="shared" si="6"/>
        <v>0.89262206503585817</v>
      </c>
      <c r="H215" s="47" t="s">
        <v>50</v>
      </c>
      <c r="I215" s="47">
        <v>2022</v>
      </c>
    </row>
    <row r="216" spans="1:9" x14ac:dyDescent="0.2">
      <c r="A216" s="47" t="str">
        <f t="shared" si="5"/>
        <v>11931Noviembre2022</v>
      </c>
      <c r="B216" s="13">
        <v>5</v>
      </c>
      <c r="C216" s="13">
        <v>11931</v>
      </c>
      <c r="D216" s="14" t="s">
        <v>26</v>
      </c>
      <c r="E216" s="13">
        <v>16868</v>
      </c>
      <c r="F216" s="13">
        <v>19310</v>
      </c>
      <c r="G216" s="56">
        <f t="shared" si="6"/>
        <v>0.87353702744691875</v>
      </c>
      <c r="H216" s="47" t="s">
        <v>50</v>
      </c>
      <c r="I216" s="47">
        <v>2022</v>
      </c>
    </row>
    <row r="217" spans="1:9" x14ac:dyDescent="0.2">
      <c r="A217" s="47" t="str">
        <f t="shared" si="5"/>
        <v>11116Noviembre2022</v>
      </c>
      <c r="B217" s="13">
        <v>6</v>
      </c>
      <c r="C217" s="13">
        <v>11116</v>
      </c>
      <c r="D217" s="14" t="s">
        <v>28</v>
      </c>
      <c r="E217" s="13">
        <v>76994</v>
      </c>
      <c r="F217" s="13">
        <v>89774</v>
      </c>
      <c r="G217" s="56">
        <f t="shared" si="6"/>
        <v>0.85764252456167711</v>
      </c>
      <c r="H217" s="47" t="s">
        <v>50</v>
      </c>
      <c r="I217" s="47">
        <v>2022</v>
      </c>
    </row>
    <row r="218" spans="1:9" x14ac:dyDescent="0.2">
      <c r="A218" s="47" t="str">
        <f t="shared" si="5"/>
        <v>11799Noviembre2022</v>
      </c>
      <c r="B218" s="13">
        <v>7</v>
      </c>
      <c r="C218" s="13">
        <v>11799</v>
      </c>
      <c r="D218" s="14" t="s">
        <v>21</v>
      </c>
      <c r="E218" s="13">
        <v>11355</v>
      </c>
      <c r="F218" s="13">
        <v>13425</v>
      </c>
      <c r="G218" s="56">
        <f t="shared" si="6"/>
        <v>0.84581005586592184</v>
      </c>
      <c r="H218" s="47" t="s">
        <v>50</v>
      </c>
      <c r="I218" s="47">
        <v>2022</v>
      </c>
    </row>
    <row r="219" spans="1:9" x14ac:dyDescent="0.2">
      <c r="A219" s="47" t="str">
        <f t="shared" si="5"/>
        <v>233Noviembre2022</v>
      </c>
      <c r="B219" s="13">
        <v>8</v>
      </c>
      <c r="C219" s="13">
        <v>233</v>
      </c>
      <c r="D219" s="14" t="s">
        <v>27</v>
      </c>
      <c r="E219" s="13">
        <v>55305</v>
      </c>
      <c r="F219" s="13">
        <v>65421</v>
      </c>
      <c r="G219" s="56">
        <f t="shared" si="6"/>
        <v>0.84537075251066174</v>
      </c>
      <c r="H219" s="47" t="s">
        <v>50</v>
      </c>
      <c r="I219" s="47">
        <v>2022</v>
      </c>
    </row>
    <row r="220" spans="1:9" x14ac:dyDescent="0.2">
      <c r="A220" s="47" t="str">
        <f t="shared" si="5"/>
        <v>236Noviembre2022</v>
      </c>
      <c r="B220" s="13">
        <v>9</v>
      </c>
      <c r="C220" s="13">
        <v>236</v>
      </c>
      <c r="D220" s="14" t="s">
        <v>25</v>
      </c>
      <c r="E220" s="13">
        <v>25264</v>
      </c>
      <c r="F220" s="13">
        <v>29554</v>
      </c>
      <c r="G220" s="56">
        <f t="shared" si="6"/>
        <v>0.85484198416458013</v>
      </c>
      <c r="H220" s="47" t="s">
        <v>50</v>
      </c>
      <c r="I220" s="47">
        <v>2022</v>
      </c>
    </row>
    <row r="221" spans="1:9" x14ac:dyDescent="0.2">
      <c r="A221" s="47" t="str">
        <f t="shared" si="5"/>
        <v>234Noviembre2022</v>
      </c>
      <c r="B221" s="13">
        <v>10</v>
      </c>
      <c r="C221" s="13">
        <v>234</v>
      </c>
      <c r="D221" s="14" t="s">
        <v>18</v>
      </c>
      <c r="E221" s="13">
        <v>32354</v>
      </c>
      <c r="F221" s="13">
        <v>40011</v>
      </c>
      <c r="G221" s="56">
        <f t="shared" si="6"/>
        <v>0.8086276274024643</v>
      </c>
      <c r="H221" s="47" t="s">
        <v>50</v>
      </c>
      <c r="I221" s="47">
        <v>2022</v>
      </c>
    </row>
    <row r="222" spans="1:9" x14ac:dyDescent="0.2">
      <c r="A222" s="47" t="str">
        <f t="shared" si="5"/>
        <v>238Noviembre2022</v>
      </c>
      <c r="B222" s="13">
        <v>11</v>
      </c>
      <c r="C222" s="13">
        <v>238</v>
      </c>
      <c r="D222" s="14" t="s">
        <v>35</v>
      </c>
      <c r="E222" s="13">
        <v>12891</v>
      </c>
      <c r="F222" s="13">
        <v>16123</v>
      </c>
      <c r="G222" s="56">
        <f t="shared" si="6"/>
        <v>0.79954102834460083</v>
      </c>
      <c r="H222" s="47" t="s">
        <v>50</v>
      </c>
      <c r="I222" s="47">
        <v>2022</v>
      </c>
    </row>
    <row r="223" spans="1:9" x14ac:dyDescent="0.2">
      <c r="A223" s="47" t="str">
        <f t="shared" si="5"/>
        <v>240Noviembre2022</v>
      </c>
      <c r="B223" s="13">
        <v>12</v>
      </c>
      <c r="C223" s="13">
        <v>240</v>
      </c>
      <c r="D223" s="14" t="s">
        <v>23</v>
      </c>
      <c r="E223" s="13">
        <v>21769</v>
      </c>
      <c r="F223" s="13">
        <v>27330</v>
      </c>
      <c r="G223" s="56">
        <f t="shared" si="6"/>
        <v>0.79652396633735822</v>
      </c>
      <c r="H223" s="47" t="s">
        <v>50</v>
      </c>
      <c r="I223" s="47">
        <v>2022</v>
      </c>
    </row>
    <row r="224" spans="1:9" x14ac:dyDescent="0.2">
      <c r="A224" s="47" t="str">
        <f t="shared" si="5"/>
        <v>28745Noviembre2022</v>
      </c>
      <c r="B224" s="13">
        <v>13</v>
      </c>
      <c r="C224" s="13">
        <v>28745</v>
      </c>
      <c r="D224" s="14" t="s">
        <v>6</v>
      </c>
      <c r="E224" s="13">
        <v>1819</v>
      </c>
      <c r="F224" s="13">
        <v>2371</v>
      </c>
      <c r="G224" s="56">
        <f t="shared" si="6"/>
        <v>0.76718684099536061</v>
      </c>
      <c r="H224" s="47" t="s">
        <v>50</v>
      </c>
      <c r="I224" s="47">
        <v>2022</v>
      </c>
    </row>
    <row r="225" spans="1:9" x14ac:dyDescent="0.2">
      <c r="A225" s="47" t="str">
        <f t="shared" si="5"/>
        <v>10904Noviembre2022</v>
      </c>
      <c r="B225" s="13">
        <v>14</v>
      </c>
      <c r="C225" s="13">
        <v>10904</v>
      </c>
      <c r="D225" s="14" t="s">
        <v>29</v>
      </c>
      <c r="E225" s="13">
        <v>10535</v>
      </c>
      <c r="F225" s="13">
        <v>15005</v>
      </c>
      <c r="G225" s="56">
        <f t="shared" si="6"/>
        <v>0.70209930023325562</v>
      </c>
      <c r="H225" s="47" t="s">
        <v>50</v>
      </c>
      <c r="I225" s="47">
        <v>2022</v>
      </c>
    </row>
    <row r="226" spans="1:9" x14ac:dyDescent="0.2">
      <c r="A226" s="47" t="str">
        <f t="shared" ref="A226:A289" si="7">C226&amp;H226&amp;I226</f>
        <v>242Noviembre2022</v>
      </c>
      <c r="B226" s="13">
        <v>15</v>
      </c>
      <c r="C226" s="13">
        <v>242</v>
      </c>
      <c r="D226" s="14" t="s">
        <v>7</v>
      </c>
      <c r="E226" s="13">
        <v>22036</v>
      </c>
      <c r="F226" s="13">
        <v>31295</v>
      </c>
      <c r="G226" s="56">
        <f t="shared" si="6"/>
        <v>0.70413804122064227</v>
      </c>
      <c r="H226" s="47" t="s">
        <v>50</v>
      </c>
      <c r="I226" s="47">
        <v>2022</v>
      </c>
    </row>
    <row r="227" spans="1:9" x14ac:dyDescent="0.2">
      <c r="A227" s="47" t="str">
        <f t="shared" si="7"/>
        <v>241Noviembre2022</v>
      </c>
      <c r="B227" s="13">
        <v>16</v>
      </c>
      <c r="C227" s="13">
        <v>241</v>
      </c>
      <c r="D227" s="14" t="s">
        <v>30</v>
      </c>
      <c r="E227" s="13">
        <v>15296</v>
      </c>
      <c r="F227" s="13">
        <v>22127</v>
      </c>
      <c r="G227" s="56">
        <f t="shared" si="6"/>
        <v>0.69128214398698418</v>
      </c>
      <c r="H227" s="47" t="s">
        <v>50</v>
      </c>
      <c r="I227" s="47">
        <v>2022</v>
      </c>
    </row>
    <row r="228" spans="1:9" x14ac:dyDescent="0.2">
      <c r="A228" s="47" t="str">
        <f t="shared" si="7"/>
        <v>243Noviembre2022</v>
      </c>
      <c r="B228" s="13">
        <v>17</v>
      </c>
      <c r="C228" s="13">
        <v>243</v>
      </c>
      <c r="D228" s="14" t="s">
        <v>34</v>
      </c>
      <c r="E228" s="13">
        <v>20932</v>
      </c>
      <c r="F228" s="13">
        <v>30359</v>
      </c>
      <c r="G228" s="56">
        <f t="shared" si="6"/>
        <v>0.68948252577489377</v>
      </c>
      <c r="H228" s="47" t="s">
        <v>50</v>
      </c>
      <c r="I228" s="47">
        <v>2022</v>
      </c>
    </row>
    <row r="229" spans="1:9" x14ac:dyDescent="0.2">
      <c r="A229" s="47" t="str">
        <f t="shared" si="7"/>
        <v>239Noviembre2022</v>
      </c>
      <c r="B229" s="13">
        <v>18</v>
      </c>
      <c r="C229" s="13">
        <v>239</v>
      </c>
      <c r="D229" s="14" t="s">
        <v>32</v>
      </c>
      <c r="E229" s="13">
        <v>21219</v>
      </c>
      <c r="F229" s="13">
        <v>33576</v>
      </c>
      <c r="G229" s="56">
        <f t="shared" si="6"/>
        <v>0.63196926375982843</v>
      </c>
      <c r="H229" s="47" t="s">
        <v>50</v>
      </c>
      <c r="I229" s="47">
        <v>2022</v>
      </c>
    </row>
    <row r="230" spans="1:9" x14ac:dyDescent="0.2">
      <c r="A230" s="47" t="str">
        <f t="shared" si="7"/>
        <v>246Noviembre2022</v>
      </c>
      <c r="B230" s="13">
        <v>19</v>
      </c>
      <c r="C230" s="13">
        <v>246</v>
      </c>
      <c r="D230" s="14" t="s">
        <v>9</v>
      </c>
      <c r="E230" s="13">
        <v>17449</v>
      </c>
      <c r="F230" s="13">
        <v>28939</v>
      </c>
      <c r="G230" s="56">
        <f t="shared" si="6"/>
        <v>0.60295794602439612</v>
      </c>
      <c r="H230" s="47" t="s">
        <v>50</v>
      </c>
      <c r="I230" s="47">
        <v>2022</v>
      </c>
    </row>
    <row r="231" spans="1:9" x14ac:dyDescent="0.2">
      <c r="A231" s="47" t="str">
        <f t="shared" si="7"/>
        <v>237Noviembre2022</v>
      </c>
      <c r="B231" s="13">
        <v>20</v>
      </c>
      <c r="C231" s="13">
        <v>237</v>
      </c>
      <c r="D231" s="14" t="s">
        <v>31</v>
      </c>
      <c r="E231" s="13">
        <v>18742</v>
      </c>
      <c r="F231" s="13">
        <v>35249</v>
      </c>
      <c r="G231" s="56">
        <f t="shared" si="6"/>
        <v>0.53170302703622796</v>
      </c>
      <c r="H231" s="47" t="s">
        <v>50</v>
      </c>
      <c r="I231" s="47">
        <v>2022</v>
      </c>
    </row>
    <row r="232" spans="1:9" x14ac:dyDescent="0.2">
      <c r="A232" s="47" t="str">
        <f t="shared" si="7"/>
        <v>235Noviembre2022</v>
      </c>
      <c r="B232" s="13">
        <v>21</v>
      </c>
      <c r="C232" s="13">
        <v>235</v>
      </c>
      <c r="D232" s="14" t="s">
        <v>33</v>
      </c>
      <c r="E232" s="13">
        <v>14540</v>
      </c>
      <c r="F232" s="13">
        <v>27779</v>
      </c>
      <c r="G232" s="56">
        <f t="shared" si="6"/>
        <v>0.52341696965333528</v>
      </c>
      <c r="H232" s="47" t="s">
        <v>50</v>
      </c>
      <c r="I232" s="47">
        <v>2022</v>
      </c>
    </row>
    <row r="233" spans="1:9" x14ac:dyDescent="0.2">
      <c r="A233" s="47" t="str">
        <f t="shared" si="7"/>
        <v>11117Diciembre2022</v>
      </c>
      <c r="B233" s="47">
        <v>1</v>
      </c>
      <c r="C233" s="47">
        <v>11117</v>
      </c>
      <c r="D233" s="47" t="s">
        <v>15</v>
      </c>
      <c r="E233" s="48">
        <v>94070</v>
      </c>
      <c r="F233" s="48">
        <v>97273</v>
      </c>
      <c r="G233" s="56">
        <f t="shared" si="6"/>
        <v>0.96707205493816373</v>
      </c>
      <c r="H233" s="47" t="s">
        <v>51</v>
      </c>
      <c r="I233" s="47">
        <v>2022</v>
      </c>
    </row>
    <row r="234" spans="1:9" x14ac:dyDescent="0.2">
      <c r="A234" s="47" t="str">
        <f t="shared" si="7"/>
        <v>1557Diciembre2022</v>
      </c>
      <c r="B234" s="47">
        <v>2</v>
      </c>
      <c r="C234" s="47">
        <v>1557</v>
      </c>
      <c r="D234" s="47" t="s">
        <v>12</v>
      </c>
      <c r="E234" s="48">
        <v>14166</v>
      </c>
      <c r="F234" s="48">
        <v>15443</v>
      </c>
      <c r="G234" s="56">
        <f t="shared" si="6"/>
        <v>0.91730881305445833</v>
      </c>
      <c r="H234" s="47" t="s">
        <v>51</v>
      </c>
      <c r="I234" s="47">
        <v>2022</v>
      </c>
    </row>
    <row r="235" spans="1:9" x14ac:dyDescent="0.2">
      <c r="A235" s="47" t="str">
        <f t="shared" si="7"/>
        <v>10951Diciembre2022</v>
      </c>
      <c r="B235" s="47">
        <v>3</v>
      </c>
      <c r="C235" s="47">
        <v>10951</v>
      </c>
      <c r="D235" s="47" t="s">
        <v>24</v>
      </c>
      <c r="E235" s="48">
        <v>17129</v>
      </c>
      <c r="F235" s="48">
        <v>18806</v>
      </c>
      <c r="G235" s="56">
        <f t="shared" si="6"/>
        <v>0.91082633202169516</v>
      </c>
      <c r="H235" s="47" t="s">
        <v>51</v>
      </c>
      <c r="I235" s="47">
        <v>2022</v>
      </c>
    </row>
    <row r="236" spans="1:9" x14ac:dyDescent="0.2">
      <c r="A236" s="47" t="str">
        <f t="shared" si="7"/>
        <v>11882Diciembre2022</v>
      </c>
      <c r="B236" s="47">
        <v>4</v>
      </c>
      <c r="C236" s="47">
        <v>11882</v>
      </c>
      <c r="D236" s="47" t="s">
        <v>22</v>
      </c>
      <c r="E236" s="48">
        <v>10237</v>
      </c>
      <c r="F236" s="48">
        <v>11529</v>
      </c>
      <c r="G236" s="56">
        <f t="shared" si="6"/>
        <v>0.88793477318067482</v>
      </c>
      <c r="H236" s="47" t="s">
        <v>51</v>
      </c>
      <c r="I236" s="47">
        <v>2022</v>
      </c>
    </row>
    <row r="237" spans="1:9" x14ac:dyDescent="0.2">
      <c r="A237" s="47" t="str">
        <f t="shared" si="7"/>
        <v>11116Diciembre2022</v>
      </c>
      <c r="B237" s="47">
        <v>5</v>
      </c>
      <c r="C237" s="47">
        <v>11116</v>
      </c>
      <c r="D237" s="47" t="s">
        <v>28</v>
      </c>
      <c r="E237" s="48">
        <v>84315</v>
      </c>
      <c r="F237" s="48">
        <v>97261</v>
      </c>
      <c r="G237" s="56">
        <f t="shared" si="6"/>
        <v>0.86689423304304913</v>
      </c>
      <c r="H237" s="47" t="s">
        <v>51</v>
      </c>
      <c r="I237" s="47">
        <v>2022</v>
      </c>
    </row>
    <row r="238" spans="1:9" x14ac:dyDescent="0.2">
      <c r="A238" s="47" t="str">
        <f t="shared" si="7"/>
        <v>11799Diciembre2022</v>
      </c>
      <c r="B238" s="47">
        <v>6</v>
      </c>
      <c r="C238" s="47">
        <v>11799</v>
      </c>
      <c r="D238" s="47" t="s">
        <v>21</v>
      </c>
      <c r="E238" s="48">
        <v>12579</v>
      </c>
      <c r="F238" s="48">
        <v>14756</v>
      </c>
      <c r="G238" s="56">
        <f t="shared" si="6"/>
        <v>0.85246679316888041</v>
      </c>
      <c r="H238" s="47" t="s">
        <v>51</v>
      </c>
      <c r="I238" s="47">
        <v>2022</v>
      </c>
    </row>
    <row r="239" spans="1:9" x14ac:dyDescent="0.2">
      <c r="A239" s="47" t="str">
        <f t="shared" si="7"/>
        <v>11931Diciembre2022</v>
      </c>
      <c r="B239" s="47">
        <v>7</v>
      </c>
      <c r="C239" s="47">
        <v>11931</v>
      </c>
      <c r="D239" s="47" t="s">
        <v>26</v>
      </c>
      <c r="E239" s="48">
        <v>20784</v>
      </c>
      <c r="F239" s="48">
        <v>24849</v>
      </c>
      <c r="G239" s="56">
        <f t="shared" si="6"/>
        <v>0.83641192804539422</v>
      </c>
      <c r="H239" s="47" t="s">
        <v>51</v>
      </c>
      <c r="I239" s="47">
        <v>2022</v>
      </c>
    </row>
    <row r="240" spans="1:9" x14ac:dyDescent="0.2">
      <c r="A240" s="47" t="str">
        <f t="shared" si="7"/>
        <v>233Diciembre2022</v>
      </c>
      <c r="B240" s="47">
        <v>8</v>
      </c>
      <c r="C240" s="47">
        <v>233</v>
      </c>
      <c r="D240" s="47" t="s">
        <v>27</v>
      </c>
      <c r="E240" s="48">
        <v>60970</v>
      </c>
      <c r="F240" s="48">
        <v>72603</v>
      </c>
      <c r="G240" s="56">
        <f t="shared" si="6"/>
        <v>0.8397724611930637</v>
      </c>
      <c r="H240" s="47" t="s">
        <v>51</v>
      </c>
      <c r="I240" s="47">
        <v>2022</v>
      </c>
    </row>
    <row r="241" spans="1:9" x14ac:dyDescent="0.2">
      <c r="A241" s="47" t="str">
        <f t="shared" si="7"/>
        <v>236Diciembre2022</v>
      </c>
      <c r="B241" s="47">
        <v>9</v>
      </c>
      <c r="C241" s="47">
        <v>236</v>
      </c>
      <c r="D241" s="47" t="s">
        <v>25</v>
      </c>
      <c r="E241" s="48">
        <v>28486</v>
      </c>
      <c r="F241" s="48">
        <v>34081</v>
      </c>
      <c r="G241" s="56">
        <f t="shared" si="6"/>
        <v>0.83583228191661041</v>
      </c>
      <c r="H241" s="47" t="s">
        <v>51</v>
      </c>
      <c r="I241" s="47">
        <v>2022</v>
      </c>
    </row>
    <row r="242" spans="1:9" x14ac:dyDescent="0.2">
      <c r="A242" s="47" t="str">
        <f t="shared" si="7"/>
        <v>234Diciembre2022</v>
      </c>
      <c r="B242" s="47">
        <v>10</v>
      </c>
      <c r="C242" s="47">
        <v>234</v>
      </c>
      <c r="D242" s="47" t="s">
        <v>18</v>
      </c>
      <c r="E242" s="48">
        <v>36428</v>
      </c>
      <c r="F242" s="48">
        <v>44476</v>
      </c>
      <c r="G242" s="56">
        <f t="shared" si="6"/>
        <v>0.81904847558233651</v>
      </c>
      <c r="H242" s="47" t="s">
        <v>51</v>
      </c>
      <c r="I242" s="47">
        <v>2022</v>
      </c>
    </row>
    <row r="243" spans="1:9" x14ac:dyDescent="0.2">
      <c r="A243" s="47" t="str">
        <f t="shared" si="7"/>
        <v>28745Diciembre2022</v>
      </c>
      <c r="B243" s="47">
        <v>11</v>
      </c>
      <c r="C243" s="47">
        <v>28745</v>
      </c>
      <c r="D243" s="47" t="s">
        <v>6</v>
      </c>
      <c r="E243" s="48">
        <v>2421</v>
      </c>
      <c r="F243" s="48">
        <v>2977</v>
      </c>
      <c r="G243" s="56">
        <f t="shared" si="6"/>
        <v>0.81323480013436344</v>
      </c>
      <c r="H243" s="47" t="s">
        <v>51</v>
      </c>
      <c r="I243" s="47">
        <v>2022</v>
      </c>
    </row>
    <row r="244" spans="1:9" x14ac:dyDescent="0.2">
      <c r="A244" s="47" t="str">
        <f t="shared" si="7"/>
        <v>240Diciembre2022</v>
      </c>
      <c r="B244" s="47">
        <v>12</v>
      </c>
      <c r="C244" s="47">
        <v>240</v>
      </c>
      <c r="D244" s="47" t="s">
        <v>23</v>
      </c>
      <c r="E244" s="48">
        <v>24184</v>
      </c>
      <c r="F244" s="48">
        <v>30283</v>
      </c>
      <c r="G244" s="56">
        <f t="shared" si="6"/>
        <v>0.79859987451705572</v>
      </c>
      <c r="H244" s="47" t="s">
        <v>51</v>
      </c>
      <c r="I244" s="47">
        <v>2022</v>
      </c>
    </row>
    <row r="245" spans="1:9" x14ac:dyDescent="0.2">
      <c r="A245" s="47" t="str">
        <f t="shared" si="7"/>
        <v>242Diciembre2022</v>
      </c>
      <c r="B245" s="47">
        <v>13</v>
      </c>
      <c r="C245" s="47">
        <v>242</v>
      </c>
      <c r="D245" s="47" t="s">
        <v>7</v>
      </c>
      <c r="E245" s="48">
        <v>26169</v>
      </c>
      <c r="F245" s="48">
        <v>35475</v>
      </c>
      <c r="G245" s="56">
        <f t="shared" si="6"/>
        <v>0.73767441860465122</v>
      </c>
      <c r="H245" s="47" t="s">
        <v>51</v>
      </c>
      <c r="I245" s="47">
        <v>2022</v>
      </c>
    </row>
    <row r="246" spans="1:9" x14ac:dyDescent="0.2">
      <c r="A246" s="47" t="str">
        <f t="shared" si="7"/>
        <v>238Diciembre2022</v>
      </c>
      <c r="B246" s="47">
        <v>14</v>
      </c>
      <c r="C246" s="47">
        <v>238</v>
      </c>
      <c r="D246" s="47" t="s">
        <v>35</v>
      </c>
      <c r="E246" s="48">
        <v>13164</v>
      </c>
      <c r="F246" s="48">
        <v>18046</v>
      </c>
      <c r="G246" s="56">
        <f t="shared" si="6"/>
        <v>0.72946913443422368</v>
      </c>
      <c r="H246" s="47" t="s">
        <v>51</v>
      </c>
      <c r="I246" s="47">
        <v>2022</v>
      </c>
    </row>
    <row r="247" spans="1:9" x14ac:dyDescent="0.2">
      <c r="A247" s="47" t="str">
        <f t="shared" si="7"/>
        <v>10904Diciembre2022</v>
      </c>
      <c r="B247" s="47">
        <v>15</v>
      </c>
      <c r="C247" s="47">
        <v>10904</v>
      </c>
      <c r="D247" s="47" t="s">
        <v>29</v>
      </c>
      <c r="E247" s="48">
        <v>12053</v>
      </c>
      <c r="F247" s="48">
        <v>16758</v>
      </c>
      <c r="G247" s="56">
        <f t="shared" si="6"/>
        <v>0.71923857262203128</v>
      </c>
      <c r="H247" s="47" t="s">
        <v>51</v>
      </c>
      <c r="I247" s="47">
        <v>2022</v>
      </c>
    </row>
    <row r="248" spans="1:9" x14ac:dyDescent="0.2">
      <c r="A248" s="47" t="str">
        <f t="shared" si="7"/>
        <v>241Diciembre2022</v>
      </c>
      <c r="B248" s="47">
        <v>16</v>
      </c>
      <c r="C248" s="47">
        <v>241</v>
      </c>
      <c r="D248" s="47" t="s">
        <v>30</v>
      </c>
      <c r="E248" s="48">
        <v>17376</v>
      </c>
      <c r="F248" s="48">
        <v>24604</v>
      </c>
      <c r="G248" s="56">
        <f t="shared" si="6"/>
        <v>0.70622662981629003</v>
      </c>
      <c r="H248" s="47" t="s">
        <v>51</v>
      </c>
      <c r="I248" s="47">
        <v>2022</v>
      </c>
    </row>
    <row r="249" spans="1:9" x14ac:dyDescent="0.2">
      <c r="A249" s="47" t="str">
        <f t="shared" si="7"/>
        <v>239Diciembre2022</v>
      </c>
      <c r="B249" s="47">
        <v>17</v>
      </c>
      <c r="C249" s="47">
        <v>239</v>
      </c>
      <c r="D249" s="47" t="s">
        <v>32</v>
      </c>
      <c r="E249" s="48">
        <v>24738</v>
      </c>
      <c r="F249" s="48">
        <v>37889</v>
      </c>
      <c r="G249" s="56">
        <f t="shared" si="6"/>
        <v>0.65290717622528971</v>
      </c>
      <c r="H249" s="47" t="s">
        <v>51</v>
      </c>
      <c r="I249" s="47">
        <v>2022</v>
      </c>
    </row>
    <row r="250" spans="1:9" x14ac:dyDescent="0.2">
      <c r="A250" s="47" t="str">
        <f t="shared" si="7"/>
        <v>243Diciembre2022</v>
      </c>
      <c r="B250" s="47">
        <v>18</v>
      </c>
      <c r="C250" s="47">
        <v>243</v>
      </c>
      <c r="D250" s="47" t="s">
        <v>34</v>
      </c>
      <c r="E250" s="48">
        <v>21553</v>
      </c>
      <c r="F250" s="48">
        <v>33383</v>
      </c>
      <c r="G250" s="56">
        <f t="shared" si="6"/>
        <v>0.64562801425875449</v>
      </c>
      <c r="H250" s="47" t="s">
        <v>51</v>
      </c>
      <c r="I250" s="47">
        <v>2022</v>
      </c>
    </row>
    <row r="251" spans="1:9" x14ac:dyDescent="0.2">
      <c r="A251" s="47" t="str">
        <f t="shared" si="7"/>
        <v>246Diciembre2022</v>
      </c>
      <c r="B251" s="47">
        <v>19</v>
      </c>
      <c r="C251" s="47">
        <v>246</v>
      </c>
      <c r="D251" s="47" t="s">
        <v>9</v>
      </c>
      <c r="E251" s="48">
        <v>20597</v>
      </c>
      <c r="F251" s="48">
        <v>32566</v>
      </c>
      <c r="G251" s="56">
        <f t="shared" si="6"/>
        <v>0.63246944666216298</v>
      </c>
      <c r="H251" s="47" t="s">
        <v>51</v>
      </c>
      <c r="I251" s="47">
        <v>2022</v>
      </c>
    </row>
    <row r="252" spans="1:9" x14ac:dyDescent="0.2">
      <c r="A252" s="47" t="str">
        <f t="shared" si="7"/>
        <v>237Diciembre2022</v>
      </c>
      <c r="B252" s="47">
        <v>20</v>
      </c>
      <c r="C252" s="47">
        <v>237</v>
      </c>
      <c r="D252" s="47" t="s">
        <v>31</v>
      </c>
      <c r="E252" s="48">
        <v>21663</v>
      </c>
      <c r="F252" s="48">
        <v>38851</v>
      </c>
      <c r="G252" s="56">
        <f t="shared" si="6"/>
        <v>0.55759182517824513</v>
      </c>
      <c r="H252" s="47" t="s">
        <v>51</v>
      </c>
      <c r="I252" s="47">
        <v>2022</v>
      </c>
    </row>
    <row r="253" spans="1:9" x14ac:dyDescent="0.2">
      <c r="A253" s="47" t="str">
        <f t="shared" si="7"/>
        <v>235Diciembre2022</v>
      </c>
      <c r="B253" s="47">
        <v>21</v>
      </c>
      <c r="C253" s="47">
        <v>235</v>
      </c>
      <c r="D253" s="47" t="s">
        <v>33</v>
      </c>
      <c r="E253" s="48">
        <v>17450</v>
      </c>
      <c r="F253" s="48">
        <v>34582</v>
      </c>
      <c r="G253" s="56">
        <f t="shared" si="6"/>
        <v>0.50459776762477593</v>
      </c>
      <c r="H253" s="47" t="s">
        <v>51</v>
      </c>
      <c r="I253" s="47">
        <v>2022</v>
      </c>
    </row>
    <row r="254" spans="1:9" x14ac:dyDescent="0.2">
      <c r="A254" s="47" t="str">
        <f t="shared" si="7"/>
        <v>242Febrero2023</v>
      </c>
      <c r="B254" s="47">
        <v>1</v>
      </c>
      <c r="C254" s="47">
        <v>242</v>
      </c>
      <c r="D254" s="47" t="s">
        <v>7</v>
      </c>
      <c r="E254" s="48">
        <v>4534</v>
      </c>
      <c r="F254" s="48">
        <v>4587</v>
      </c>
      <c r="G254" s="56">
        <f t="shared" si="6"/>
        <v>0.98844560715064311</v>
      </c>
      <c r="H254" s="47" t="s">
        <v>41</v>
      </c>
      <c r="I254" s="47">
        <v>2023</v>
      </c>
    </row>
    <row r="255" spans="1:9" x14ac:dyDescent="0.2">
      <c r="A255" s="47" t="str">
        <f t="shared" si="7"/>
        <v>246Febrero2023</v>
      </c>
      <c r="B255" s="47">
        <v>2</v>
      </c>
      <c r="C255" s="47">
        <v>246</v>
      </c>
      <c r="D255" s="47" t="s">
        <v>9</v>
      </c>
      <c r="E255" s="48">
        <v>4144</v>
      </c>
      <c r="F255" s="48">
        <v>4193</v>
      </c>
      <c r="G255" s="56">
        <f t="shared" si="6"/>
        <v>0.98831385642737901</v>
      </c>
      <c r="H255" s="47" t="s">
        <v>41</v>
      </c>
      <c r="I255" s="47">
        <v>2023</v>
      </c>
    </row>
    <row r="256" spans="1:9" x14ac:dyDescent="0.2">
      <c r="A256" s="47" t="str">
        <f t="shared" si="7"/>
        <v>28745Febrero2023</v>
      </c>
      <c r="B256" s="47">
        <v>3</v>
      </c>
      <c r="C256" s="47">
        <v>28745</v>
      </c>
      <c r="D256" s="47" t="s">
        <v>6</v>
      </c>
      <c r="E256" s="48">
        <v>462</v>
      </c>
      <c r="F256" s="48">
        <v>465</v>
      </c>
      <c r="G256" s="56">
        <f t="shared" ref="G256:G319" si="8">E256/F256</f>
        <v>0.99354838709677418</v>
      </c>
      <c r="H256" s="47" t="s">
        <v>41</v>
      </c>
      <c r="I256" s="47">
        <v>2023</v>
      </c>
    </row>
    <row r="257" spans="1:9" x14ac:dyDescent="0.2">
      <c r="A257" s="47" t="str">
        <f t="shared" si="7"/>
        <v>11117Febrero2023</v>
      </c>
      <c r="B257" s="47">
        <v>4</v>
      </c>
      <c r="C257" s="47">
        <v>11117</v>
      </c>
      <c r="D257" s="47" t="s">
        <v>15</v>
      </c>
      <c r="E257" s="48">
        <v>11816</v>
      </c>
      <c r="F257" s="48">
        <v>12204</v>
      </c>
      <c r="G257" s="56">
        <f t="shared" si="8"/>
        <v>0.96820714519829565</v>
      </c>
      <c r="H257" s="47" t="s">
        <v>41</v>
      </c>
      <c r="I257" s="47">
        <v>2023</v>
      </c>
    </row>
    <row r="258" spans="1:9" x14ac:dyDescent="0.2">
      <c r="A258" s="47" t="str">
        <f t="shared" si="7"/>
        <v>1557Febrero2023</v>
      </c>
      <c r="B258" s="47">
        <v>5</v>
      </c>
      <c r="C258" s="47">
        <v>1557</v>
      </c>
      <c r="D258" s="47" t="s">
        <v>12</v>
      </c>
      <c r="E258" s="48">
        <v>1515</v>
      </c>
      <c r="F258" s="48">
        <v>1559</v>
      </c>
      <c r="G258" s="56">
        <f t="shared" si="8"/>
        <v>0.97177677998717127</v>
      </c>
      <c r="H258" s="47" t="s">
        <v>41</v>
      </c>
      <c r="I258" s="47">
        <v>2023</v>
      </c>
    </row>
    <row r="259" spans="1:9" x14ac:dyDescent="0.2">
      <c r="A259" s="47" t="str">
        <f t="shared" si="7"/>
        <v>234Febrero2023</v>
      </c>
      <c r="B259" s="47">
        <v>6</v>
      </c>
      <c r="C259" s="47">
        <v>234</v>
      </c>
      <c r="D259" s="47" t="s">
        <v>18</v>
      </c>
      <c r="E259" s="48">
        <v>4835</v>
      </c>
      <c r="F259" s="48">
        <v>5086</v>
      </c>
      <c r="G259" s="56">
        <f t="shared" si="8"/>
        <v>0.95064883995281169</v>
      </c>
      <c r="H259" s="47" t="s">
        <v>41</v>
      </c>
      <c r="I259" s="47">
        <v>2023</v>
      </c>
    </row>
    <row r="260" spans="1:9" x14ac:dyDescent="0.2">
      <c r="A260" s="47" t="str">
        <f t="shared" si="7"/>
        <v>11799Febrero2023</v>
      </c>
      <c r="B260" s="47">
        <v>7</v>
      </c>
      <c r="C260" s="47">
        <v>11799</v>
      </c>
      <c r="D260" s="47" t="s">
        <v>21</v>
      </c>
      <c r="E260" s="48">
        <v>1803</v>
      </c>
      <c r="F260" s="48">
        <v>1924</v>
      </c>
      <c r="G260" s="56">
        <f t="shared" si="8"/>
        <v>0.93711018711018712</v>
      </c>
      <c r="H260" s="47" t="s">
        <v>41</v>
      </c>
      <c r="I260" s="47">
        <v>2023</v>
      </c>
    </row>
    <row r="261" spans="1:9" x14ac:dyDescent="0.2">
      <c r="A261" s="47" t="str">
        <f t="shared" si="7"/>
        <v>11882Febrero2023</v>
      </c>
      <c r="B261" s="47">
        <v>8</v>
      </c>
      <c r="C261" s="47">
        <v>11882</v>
      </c>
      <c r="D261" s="47" t="s">
        <v>22</v>
      </c>
      <c r="E261" s="48">
        <v>1043</v>
      </c>
      <c r="F261" s="48">
        <v>1116</v>
      </c>
      <c r="G261" s="56">
        <f t="shared" si="8"/>
        <v>0.93458781362007171</v>
      </c>
      <c r="H261" s="47" t="s">
        <v>41</v>
      </c>
      <c r="I261" s="47">
        <v>2023</v>
      </c>
    </row>
    <row r="262" spans="1:9" x14ac:dyDescent="0.2">
      <c r="A262" s="47" t="str">
        <f t="shared" si="7"/>
        <v>240Febrero2023</v>
      </c>
      <c r="B262" s="47">
        <v>9</v>
      </c>
      <c r="C262" s="47">
        <v>240</v>
      </c>
      <c r="D262" s="47" t="s">
        <v>23</v>
      </c>
      <c r="E262" s="48">
        <v>3975</v>
      </c>
      <c r="F262" s="48">
        <v>4288</v>
      </c>
      <c r="G262" s="56">
        <f t="shared" si="8"/>
        <v>0.92700559701492535</v>
      </c>
      <c r="H262" s="47" t="s">
        <v>41</v>
      </c>
      <c r="I262" s="47">
        <v>2023</v>
      </c>
    </row>
    <row r="263" spans="1:9" x14ac:dyDescent="0.2">
      <c r="A263" s="47" t="str">
        <f t="shared" si="7"/>
        <v>10951Febrero2023</v>
      </c>
      <c r="B263" s="47">
        <v>10</v>
      </c>
      <c r="C263" s="47">
        <v>10951</v>
      </c>
      <c r="D263" s="47" t="s">
        <v>24</v>
      </c>
      <c r="E263" s="48">
        <v>1898</v>
      </c>
      <c r="F263" s="48">
        <v>2090</v>
      </c>
      <c r="G263" s="56">
        <f t="shared" si="8"/>
        <v>0.90813397129186602</v>
      </c>
      <c r="H263" s="47" t="s">
        <v>41</v>
      </c>
      <c r="I263" s="47">
        <v>2023</v>
      </c>
    </row>
    <row r="264" spans="1:9" x14ac:dyDescent="0.2">
      <c r="A264" s="47" t="str">
        <f t="shared" si="7"/>
        <v>236Febrero2023</v>
      </c>
      <c r="B264" s="47">
        <v>11</v>
      </c>
      <c r="C264" s="47">
        <v>236</v>
      </c>
      <c r="D264" s="47" t="s">
        <v>25</v>
      </c>
      <c r="E264" s="48">
        <v>3606</v>
      </c>
      <c r="F264" s="48">
        <v>3972</v>
      </c>
      <c r="G264" s="56">
        <f t="shared" si="8"/>
        <v>0.90785498489425986</v>
      </c>
      <c r="H264" s="47" t="s">
        <v>41</v>
      </c>
      <c r="I264" s="47">
        <v>2023</v>
      </c>
    </row>
    <row r="265" spans="1:9" x14ac:dyDescent="0.2">
      <c r="A265" s="47" t="str">
        <f t="shared" si="7"/>
        <v>11931Febrero2023</v>
      </c>
      <c r="B265" s="47">
        <v>12</v>
      </c>
      <c r="C265" s="47">
        <v>11931</v>
      </c>
      <c r="D265" s="47" t="s">
        <v>39</v>
      </c>
      <c r="E265" s="48">
        <v>2648</v>
      </c>
      <c r="F265" s="48">
        <v>2948</v>
      </c>
      <c r="G265" s="56">
        <f t="shared" si="8"/>
        <v>0.89823609226594303</v>
      </c>
      <c r="H265" s="47" t="s">
        <v>41</v>
      </c>
      <c r="I265" s="47">
        <v>2023</v>
      </c>
    </row>
    <row r="266" spans="1:9" x14ac:dyDescent="0.2">
      <c r="A266" s="47" t="str">
        <f t="shared" si="7"/>
        <v>11116Febrero2023</v>
      </c>
      <c r="B266" s="47">
        <v>13</v>
      </c>
      <c r="C266" s="47">
        <v>11116</v>
      </c>
      <c r="D266" s="47" t="s">
        <v>28</v>
      </c>
      <c r="E266" s="48">
        <v>8986</v>
      </c>
      <c r="F266" s="48">
        <v>10128</v>
      </c>
      <c r="G266" s="56">
        <f t="shared" si="8"/>
        <v>0.88724328593996837</v>
      </c>
      <c r="H266" s="47" t="s">
        <v>41</v>
      </c>
      <c r="I266" s="47">
        <v>2023</v>
      </c>
    </row>
    <row r="267" spans="1:9" x14ac:dyDescent="0.2">
      <c r="A267" s="47" t="str">
        <f t="shared" si="7"/>
        <v>233Febrero2023</v>
      </c>
      <c r="B267" s="47">
        <v>14</v>
      </c>
      <c r="C267" s="47">
        <v>233</v>
      </c>
      <c r="D267" s="47" t="s">
        <v>27</v>
      </c>
      <c r="E267" s="48">
        <v>9724</v>
      </c>
      <c r="F267" s="48">
        <v>10940</v>
      </c>
      <c r="G267" s="56">
        <f t="shared" si="8"/>
        <v>0.88884826325411337</v>
      </c>
      <c r="H267" s="47" t="s">
        <v>41</v>
      </c>
      <c r="I267" s="47">
        <v>2023</v>
      </c>
    </row>
    <row r="268" spans="1:9" x14ac:dyDescent="0.2">
      <c r="A268" s="47" t="str">
        <f t="shared" si="7"/>
        <v>10904Febrero2023</v>
      </c>
      <c r="B268" s="47">
        <v>15</v>
      </c>
      <c r="C268" s="47">
        <v>10904</v>
      </c>
      <c r="D268" s="47" t="s">
        <v>29</v>
      </c>
      <c r="E268" s="48">
        <v>1901</v>
      </c>
      <c r="F268" s="48">
        <v>2174</v>
      </c>
      <c r="G268" s="56">
        <f t="shared" si="8"/>
        <v>0.87442502299907998</v>
      </c>
      <c r="H268" s="47" t="s">
        <v>41</v>
      </c>
      <c r="I268" s="47">
        <v>2023</v>
      </c>
    </row>
    <row r="269" spans="1:9" x14ac:dyDescent="0.2">
      <c r="A269" s="47" t="str">
        <f t="shared" si="7"/>
        <v>241Febrero2023</v>
      </c>
      <c r="B269" s="47">
        <v>16</v>
      </c>
      <c r="C269" s="47">
        <v>241</v>
      </c>
      <c r="D269" s="47" t="s">
        <v>30</v>
      </c>
      <c r="E269" s="48">
        <v>1925</v>
      </c>
      <c r="F269" s="48">
        <v>2225</v>
      </c>
      <c r="G269" s="56">
        <f t="shared" si="8"/>
        <v>0.8651685393258427</v>
      </c>
      <c r="H269" s="47" t="s">
        <v>41</v>
      </c>
      <c r="I269" s="47">
        <v>2023</v>
      </c>
    </row>
    <row r="270" spans="1:9" x14ac:dyDescent="0.2">
      <c r="A270" s="47" t="str">
        <f t="shared" si="7"/>
        <v>237Febrero2023</v>
      </c>
      <c r="B270" s="47">
        <v>17</v>
      </c>
      <c r="C270" s="47">
        <v>237</v>
      </c>
      <c r="D270" s="47" t="s">
        <v>31</v>
      </c>
      <c r="E270" s="48">
        <v>4834</v>
      </c>
      <c r="F270" s="48">
        <v>5704</v>
      </c>
      <c r="G270" s="56">
        <f t="shared" si="8"/>
        <v>0.8474754558204769</v>
      </c>
      <c r="H270" s="47" t="s">
        <v>41</v>
      </c>
      <c r="I270" s="47">
        <v>2023</v>
      </c>
    </row>
    <row r="271" spans="1:9" x14ac:dyDescent="0.2">
      <c r="A271" s="47" t="str">
        <f t="shared" si="7"/>
        <v>239Febrero2023</v>
      </c>
      <c r="B271" s="47">
        <v>18</v>
      </c>
      <c r="C271" s="47">
        <v>239</v>
      </c>
      <c r="D271" s="47" t="s">
        <v>32</v>
      </c>
      <c r="E271" s="48">
        <v>3046</v>
      </c>
      <c r="F271" s="48">
        <v>4448</v>
      </c>
      <c r="G271" s="56">
        <f t="shared" si="8"/>
        <v>0.68480215827338131</v>
      </c>
      <c r="H271" s="47" t="s">
        <v>41</v>
      </c>
      <c r="I271" s="47">
        <v>2023</v>
      </c>
    </row>
    <row r="272" spans="1:9" x14ac:dyDescent="0.2">
      <c r="A272" s="47" t="str">
        <f t="shared" si="7"/>
        <v>235Febrero2023</v>
      </c>
      <c r="B272" s="47">
        <v>19</v>
      </c>
      <c r="C272" s="47">
        <v>235</v>
      </c>
      <c r="D272" s="47" t="s">
        <v>33</v>
      </c>
      <c r="E272" s="48">
        <v>3838</v>
      </c>
      <c r="F272" s="48">
        <v>6073</v>
      </c>
      <c r="G272" s="56">
        <f t="shared" si="8"/>
        <v>0.63197760579614692</v>
      </c>
      <c r="H272" s="47" t="s">
        <v>41</v>
      </c>
      <c r="I272" s="47">
        <v>2023</v>
      </c>
    </row>
    <row r="273" spans="1:9" x14ac:dyDescent="0.2">
      <c r="A273" s="47" t="str">
        <f t="shared" si="7"/>
        <v>243Febrero2023</v>
      </c>
      <c r="B273" s="47">
        <v>20</v>
      </c>
      <c r="C273" s="47">
        <v>243</v>
      </c>
      <c r="D273" s="47" t="s">
        <v>34</v>
      </c>
      <c r="E273" s="48">
        <v>2068</v>
      </c>
      <c r="F273" s="48">
        <v>5660</v>
      </c>
      <c r="G273" s="56">
        <f t="shared" si="8"/>
        <v>0.36537102473498234</v>
      </c>
      <c r="H273" s="47" t="s">
        <v>41</v>
      </c>
      <c r="I273" s="47">
        <v>2023</v>
      </c>
    </row>
    <row r="274" spans="1:9" x14ac:dyDescent="0.2">
      <c r="A274" s="47" t="str">
        <f t="shared" si="7"/>
        <v>238Febrero2023</v>
      </c>
      <c r="B274" s="47">
        <v>21</v>
      </c>
      <c r="C274" s="47">
        <v>238</v>
      </c>
      <c r="D274" s="47" t="s">
        <v>35</v>
      </c>
      <c r="E274" s="48">
        <v>258</v>
      </c>
      <c r="F274" s="48">
        <v>2298</v>
      </c>
      <c r="G274" s="56">
        <f t="shared" si="8"/>
        <v>0.1122715404699739</v>
      </c>
      <c r="H274" s="47" t="s">
        <v>41</v>
      </c>
      <c r="I274" s="47">
        <v>2023</v>
      </c>
    </row>
    <row r="275" spans="1:9" x14ac:dyDescent="0.2">
      <c r="A275" s="47" t="str">
        <f t="shared" si="7"/>
        <v>28745Marzo2023</v>
      </c>
      <c r="B275" s="47">
        <v>1</v>
      </c>
      <c r="C275" s="47">
        <v>28745</v>
      </c>
      <c r="D275" s="47" t="s">
        <v>6</v>
      </c>
      <c r="E275" s="48">
        <v>996</v>
      </c>
      <c r="F275" s="48">
        <v>1001</v>
      </c>
      <c r="G275" s="56">
        <f t="shared" si="8"/>
        <v>0.99500499500499495</v>
      </c>
      <c r="H275" s="47" t="s">
        <v>42</v>
      </c>
      <c r="I275" s="47">
        <v>2023</v>
      </c>
    </row>
    <row r="276" spans="1:9" x14ac:dyDescent="0.2">
      <c r="A276" s="47" t="str">
        <f t="shared" si="7"/>
        <v>1557Marzo2023</v>
      </c>
      <c r="B276" s="47">
        <v>2</v>
      </c>
      <c r="C276" s="47">
        <v>1557</v>
      </c>
      <c r="D276" s="47" t="s">
        <v>12</v>
      </c>
      <c r="E276" s="48">
        <v>3193</v>
      </c>
      <c r="F276" s="48">
        <v>3239</v>
      </c>
      <c r="G276" s="56">
        <f t="shared" si="8"/>
        <v>0.98579808582895956</v>
      </c>
      <c r="H276" s="47" t="s">
        <v>42</v>
      </c>
      <c r="I276" s="47">
        <v>2023</v>
      </c>
    </row>
    <row r="277" spans="1:9" x14ac:dyDescent="0.2">
      <c r="A277" s="47" t="str">
        <f t="shared" si="7"/>
        <v>246Marzo2023</v>
      </c>
      <c r="B277" s="47">
        <v>3</v>
      </c>
      <c r="C277" s="47">
        <v>246</v>
      </c>
      <c r="D277" s="47" t="s">
        <v>9</v>
      </c>
      <c r="E277" s="48">
        <v>8364</v>
      </c>
      <c r="F277" s="48">
        <v>8456</v>
      </c>
      <c r="G277" s="56">
        <f t="shared" si="8"/>
        <v>0.98912015137180698</v>
      </c>
      <c r="H277" s="47" t="s">
        <v>42</v>
      </c>
      <c r="I277" s="47">
        <v>2023</v>
      </c>
    </row>
    <row r="278" spans="1:9" x14ac:dyDescent="0.2">
      <c r="A278" s="47" t="str">
        <f t="shared" si="7"/>
        <v>11117Marzo2023</v>
      </c>
      <c r="B278" s="47">
        <v>4</v>
      </c>
      <c r="C278" s="47">
        <v>11117</v>
      </c>
      <c r="D278" s="47" t="s">
        <v>15</v>
      </c>
      <c r="E278" s="48">
        <v>24167</v>
      </c>
      <c r="F278" s="48">
        <v>24818</v>
      </c>
      <c r="G278" s="56">
        <f t="shared" si="8"/>
        <v>0.97376903860101538</v>
      </c>
      <c r="H278" s="47" t="s">
        <v>42</v>
      </c>
      <c r="I278" s="47">
        <v>2023</v>
      </c>
    </row>
    <row r="279" spans="1:9" x14ac:dyDescent="0.2">
      <c r="A279" s="47" t="str">
        <f t="shared" si="7"/>
        <v>236Marzo2023</v>
      </c>
      <c r="B279" s="47">
        <v>5</v>
      </c>
      <c r="C279" s="47">
        <v>236</v>
      </c>
      <c r="D279" s="47" t="s">
        <v>25</v>
      </c>
      <c r="E279" s="48">
        <v>9477</v>
      </c>
      <c r="F279" s="48">
        <v>9903</v>
      </c>
      <c r="G279" s="56">
        <f t="shared" si="8"/>
        <v>0.95698273250530141</v>
      </c>
      <c r="H279" s="47" t="s">
        <v>42</v>
      </c>
      <c r="I279" s="47">
        <v>2023</v>
      </c>
    </row>
    <row r="280" spans="1:9" x14ac:dyDescent="0.2">
      <c r="A280" s="47" t="str">
        <f t="shared" si="7"/>
        <v>234Marzo2023</v>
      </c>
      <c r="B280" s="47">
        <v>6</v>
      </c>
      <c r="C280" s="47">
        <v>234</v>
      </c>
      <c r="D280" s="47" t="s">
        <v>18</v>
      </c>
      <c r="E280" s="48">
        <v>10095</v>
      </c>
      <c r="F280" s="48">
        <v>10592</v>
      </c>
      <c r="G280" s="56">
        <f t="shared" si="8"/>
        <v>0.95307779456193353</v>
      </c>
      <c r="H280" s="47" t="s">
        <v>42</v>
      </c>
      <c r="I280" s="47">
        <v>2023</v>
      </c>
    </row>
    <row r="281" spans="1:9" x14ac:dyDescent="0.2">
      <c r="A281" s="47" t="str">
        <f t="shared" si="7"/>
        <v>10951Marzo2023</v>
      </c>
      <c r="B281" s="47">
        <v>7</v>
      </c>
      <c r="C281" s="47">
        <v>10951</v>
      </c>
      <c r="D281" s="47" t="s">
        <v>24</v>
      </c>
      <c r="E281" s="48">
        <v>5020</v>
      </c>
      <c r="F281" s="48">
        <v>5318</v>
      </c>
      <c r="G281" s="56">
        <f t="shared" si="8"/>
        <v>0.9439638962015795</v>
      </c>
      <c r="H281" s="47" t="s">
        <v>42</v>
      </c>
      <c r="I281" s="47">
        <v>2023</v>
      </c>
    </row>
    <row r="282" spans="1:9" x14ac:dyDescent="0.2">
      <c r="A282" s="47" t="str">
        <f t="shared" si="7"/>
        <v>11799Marzo2023</v>
      </c>
      <c r="B282" s="47">
        <v>8</v>
      </c>
      <c r="C282" s="47">
        <v>11799</v>
      </c>
      <c r="D282" s="47" t="s">
        <v>21</v>
      </c>
      <c r="E282" s="48">
        <v>4136</v>
      </c>
      <c r="F282" s="48">
        <v>4378</v>
      </c>
      <c r="G282" s="56">
        <f t="shared" si="8"/>
        <v>0.94472361809045224</v>
      </c>
      <c r="H282" s="47" t="s">
        <v>42</v>
      </c>
      <c r="I282" s="47">
        <v>2023</v>
      </c>
    </row>
    <row r="283" spans="1:9" x14ac:dyDescent="0.2">
      <c r="A283" s="47" t="str">
        <f t="shared" si="7"/>
        <v>242Marzo2023</v>
      </c>
      <c r="B283" s="47">
        <v>9</v>
      </c>
      <c r="C283" s="47">
        <v>242</v>
      </c>
      <c r="D283" s="47" t="s">
        <v>7</v>
      </c>
      <c r="E283" s="48">
        <v>9754</v>
      </c>
      <c r="F283" s="48">
        <v>10519</v>
      </c>
      <c r="G283" s="56">
        <f t="shared" si="8"/>
        <v>0.92727445574674394</v>
      </c>
      <c r="H283" s="47" t="s">
        <v>42</v>
      </c>
      <c r="I283" s="47">
        <v>2023</v>
      </c>
    </row>
    <row r="284" spans="1:9" x14ac:dyDescent="0.2">
      <c r="A284" s="47" t="str">
        <f t="shared" si="7"/>
        <v>11882Marzo2023</v>
      </c>
      <c r="B284" s="47">
        <v>10</v>
      </c>
      <c r="C284" s="47">
        <v>11882</v>
      </c>
      <c r="D284" s="47" t="s">
        <v>22</v>
      </c>
      <c r="E284" s="48">
        <v>2912</v>
      </c>
      <c r="F284" s="48">
        <v>3187</v>
      </c>
      <c r="G284" s="56">
        <f t="shared" si="8"/>
        <v>0.91371195481644174</v>
      </c>
      <c r="H284" s="47" t="s">
        <v>42</v>
      </c>
      <c r="I284" s="47">
        <v>2023</v>
      </c>
    </row>
    <row r="285" spans="1:9" x14ac:dyDescent="0.2">
      <c r="A285" s="47" t="str">
        <f t="shared" si="7"/>
        <v>11931Marzo2023</v>
      </c>
      <c r="B285" s="47">
        <v>11</v>
      </c>
      <c r="C285" s="47">
        <v>11931</v>
      </c>
      <c r="D285" s="47" t="s">
        <v>39</v>
      </c>
      <c r="E285" s="48">
        <v>6085</v>
      </c>
      <c r="F285" s="48">
        <v>6662</v>
      </c>
      <c r="G285" s="56">
        <f t="shared" si="8"/>
        <v>0.91338937256079256</v>
      </c>
      <c r="H285" s="47" t="s">
        <v>42</v>
      </c>
      <c r="I285" s="47">
        <v>2023</v>
      </c>
    </row>
    <row r="286" spans="1:9" x14ac:dyDescent="0.2">
      <c r="A286" s="47" t="str">
        <f t="shared" si="7"/>
        <v>11116Marzo2023</v>
      </c>
      <c r="B286" s="47">
        <v>12</v>
      </c>
      <c r="C286" s="47">
        <v>11116</v>
      </c>
      <c r="D286" s="47" t="s">
        <v>28</v>
      </c>
      <c r="E286" s="48">
        <v>20472</v>
      </c>
      <c r="F286" s="48">
        <v>22718</v>
      </c>
      <c r="G286" s="56">
        <f t="shared" si="8"/>
        <v>0.9011356633506471</v>
      </c>
      <c r="H286" s="47" t="s">
        <v>42</v>
      </c>
      <c r="I286" s="47">
        <v>2023</v>
      </c>
    </row>
    <row r="287" spans="1:9" x14ac:dyDescent="0.2">
      <c r="A287" s="47" t="str">
        <f t="shared" si="7"/>
        <v>233Marzo2023</v>
      </c>
      <c r="B287" s="47">
        <v>13</v>
      </c>
      <c r="C287" s="47">
        <v>233</v>
      </c>
      <c r="D287" s="47" t="s">
        <v>27</v>
      </c>
      <c r="E287" s="48">
        <v>18349</v>
      </c>
      <c r="F287" s="48">
        <v>20590</v>
      </c>
      <c r="G287" s="56">
        <f t="shared" si="8"/>
        <v>0.89116075764934433</v>
      </c>
      <c r="H287" s="47" t="s">
        <v>42</v>
      </c>
      <c r="I287" s="47">
        <v>2023</v>
      </c>
    </row>
    <row r="288" spans="1:9" x14ac:dyDescent="0.2">
      <c r="A288" s="47" t="str">
        <f t="shared" si="7"/>
        <v>10904Marzo2023</v>
      </c>
      <c r="B288" s="47">
        <v>14</v>
      </c>
      <c r="C288" s="47">
        <v>10904</v>
      </c>
      <c r="D288" s="47" t="s">
        <v>29</v>
      </c>
      <c r="E288" s="48">
        <v>3719</v>
      </c>
      <c r="F288" s="48">
        <v>4227</v>
      </c>
      <c r="G288" s="56">
        <f t="shared" si="8"/>
        <v>0.87982020345398626</v>
      </c>
      <c r="H288" s="47" t="s">
        <v>42</v>
      </c>
      <c r="I288" s="47">
        <v>2023</v>
      </c>
    </row>
    <row r="289" spans="1:9" x14ac:dyDescent="0.2">
      <c r="A289" s="47" t="str">
        <f t="shared" si="7"/>
        <v>241Marzo2023</v>
      </c>
      <c r="B289" s="47">
        <v>15</v>
      </c>
      <c r="C289" s="47">
        <v>241</v>
      </c>
      <c r="D289" s="47" t="s">
        <v>30</v>
      </c>
      <c r="E289" s="48">
        <v>5503</v>
      </c>
      <c r="F289" s="48">
        <v>6224</v>
      </c>
      <c r="G289" s="56">
        <f t="shared" si="8"/>
        <v>0.88415809768637532</v>
      </c>
      <c r="H289" s="47" t="s">
        <v>42</v>
      </c>
      <c r="I289" s="47">
        <v>2023</v>
      </c>
    </row>
    <row r="290" spans="1:9" x14ac:dyDescent="0.2">
      <c r="A290" s="47" t="str">
        <f t="shared" ref="A290:A353" si="9">C290&amp;H290&amp;I290</f>
        <v>240Marzo2023</v>
      </c>
      <c r="B290" s="47">
        <v>16</v>
      </c>
      <c r="C290" s="47">
        <v>240</v>
      </c>
      <c r="D290" s="47" t="s">
        <v>23</v>
      </c>
      <c r="E290" s="48">
        <v>7238</v>
      </c>
      <c r="F290" s="48">
        <v>8746</v>
      </c>
      <c r="G290" s="56">
        <f t="shared" si="8"/>
        <v>0.82757832151840838</v>
      </c>
      <c r="H290" s="47" t="s">
        <v>42</v>
      </c>
      <c r="I290" s="47">
        <v>2023</v>
      </c>
    </row>
    <row r="291" spans="1:9" x14ac:dyDescent="0.2">
      <c r="A291" s="47" t="str">
        <f t="shared" si="9"/>
        <v>239Marzo2023</v>
      </c>
      <c r="B291" s="47">
        <v>17</v>
      </c>
      <c r="C291" s="47">
        <v>239</v>
      </c>
      <c r="D291" s="47" t="s">
        <v>32</v>
      </c>
      <c r="E291" s="48">
        <v>8153</v>
      </c>
      <c r="F291" s="48">
        <v>10181</v>
      </c>
      <c r="G291" s="56">
        <f t="shared" si="8"/>
        <v>0.80080542186425696</v>
      </c>
      <c r="H291" s="47" t="s">
        <v>42</v>
      </c>
      <c r="I291" s="47">
        <v>2023</v>
      </c>
    </row>
    <row r="292" spans="1:9" x14ac:dyDescent="0.2">
      <c r="A292" s="47" t="str">
        <f t="shared" si="9"/>
        <v>237Marzo2023</v>
      </c>
      <c r="B292" s="47">
        <v>18</v>
      </c>
      <c r="C292" s="47">
        <v>237</v>
      </c>
      <c r="D292" s="47" t="s">
        <v>31</v>
      </c>
      <c r="E292" s="48">
        <v>9235</v>
      </c>
      <c r="F292" s="48">
        <v>11767</v>
      </c>
      <c r="G292" s="56">
        <f t="shared" si="8"/>
        <v>0.78482195971785507</v>
      </c>
      <c r="H292" s="47" t="s">
        <v>42</v>
      </c>
      <c r="I292" s="47">
        <v>2023</v>
      </c>
    </row>
    <row r="293" spans="1:9" x14ac:dyDescent="0.2">
      <c r="A293" s="47" t="str">
        <f t="shared" si="9"/>
        <v>235Marzo2023</v>
      </c>
      <c r="B293" s="47">
        <v>19</v>
      </c>
      <c r="C293" s="47">
        <v>235</v>
      </c>
      <c r="D293" s="47" t="s">
        <v>33</v>
      </c>
      <c r="E293" s="48">
        <v>8059</v>
      </c>
      <c r="F293" s="48">
        <v>12196</v>
      </c>
      <c r="G293" s="56">
        <f t="shared" si="8"/>
        <v>0.6607904230895375</v>
      </c>
      <c r="H293" s="47" t="s">
        <v>42</v>
      </c>
      <c r="I293" s="47">
        <v>2023</v>
      </c>
    </row>
    <row r="294" spans="1:9" x14ac:dyDescent="0.2">
      <c r="A294" s="47" t="str">
        <f t="shared" si="9"/>
        <v>243Marzo2023</v>
      </c>
      <c r="B294" s="47">
        <v>20</v>
      </c>
      <c r="C294" s="47">
        <v>243</v>
      </c>
      <c r="D294" s="47" t="s">
        <v>34</v>
      </c>
      <c r="E294" s="48">
        <v>5887</v>
      </c>
      <c r="F294" s="48">
        <v>10067</v>
      </c>
      <c r="G294" s="56">
        <f t="shared" si="8"/>
        <v>0.58478196086222312</v>
      </c>
      <c r="H294" s="47" t="s">
        <v>42</v>
      </c>
      <c r="I294" s="47">
        <v>2023</v>
      </c>
    </row>
    <row r="295" spans="1:9" x14ac:dyDescent="0.2">
      <c r="A295" s="47" t="str">
        <f t="shared" si="9"/>
        <v>238Marzo2023</v>
      </c>
      <c r="B295" s="47">
        <v>21</v>
      </c>
      <c r="C295" s="47">
        <v>238</v>
      </c>
      <c r="D295" s="47" t="s">
        <v>35</v>
      </c>
      <c r="E295" s="48">
        <v>2407</v>
      </c>
      <c r="F295" s="48">
        <v>6492</v>
      </c>
      <c r="G295" s="56">
        <f t="shared" si="8"/>
        <v>0.37076401725200248</v>
      </c>
      <c r="H295" s="47" t="s">
        <v>42</v>
      </c>
      <c r="I295" s="47">
        <v>2023</v>
      </c>
    </row>
    <row r="296" spans="1:9" x14ac:dyDescent="0.2">
      <c r="A296" s="47" t="str">
        <f t="shared" si="9"/>
        <v>28745Abril2023</v>
      </c>
      <c r="B296" s="47">
        <v>1</v>
      </c>
      <c r="C296" s="47">
        <v>28745</v>
      </c>
      <c r="D296" s="47" t="s">
        <v>6</v>
      </c>
      <c r="E296" s="48">
        <v>1480</v>
      </c>
      <c r="F296" s="48">
        <v>1487</v>
      </c>
      <c r="G296" s="56">
        <f t="shared" si="8"/>
        <v>0.99529253530598516</v>
      </c>
      <c r="H296" s="47" t="s">
        <v>43</v>
      </c>
      <c r="I296" s="47">
        <v>2023</v>
      </c>
    </row>
    <row r="297" spans="1:9" x14ac:dyDescent="0.2">
      <c r="A297" s="47" t="str">
        <f t="shared" si="9"/>
        <v>1557Abril2023</v>
      </c>
      <c r="B297" s="47">
        <v>2</v>
      </c>
      <c r="C297" s="47">
        <v>1557</v>
      </c>
      <c r="D297" s="47" t="s">
        <v>12</v>
      </c>
      <c r="E297" s="48">
        <v>4652</v>
      </c>
      <c r="F297" s="48">
        <v>4703</v>
      </c>
      <c r="G297" s="56">
        <f t="shared" si="8"/>
        <v>0.98915585796300232</v>
      </c>
      <c r="H297" s="47" t="s">
        <v>43</v>
      </c>
      <c r="I297" s="47">
        <v>2023</v>
      </c>
    </row>
    <row r="298" spans="1:9" x14ac:dyDescent="0.2">
      <c r="A298" s="47" t="str">
        <f t="shared" si="9"/>
        <v>246Abril2023</v>
      </c>
      <c r="B298" s="47">
        <v>3</v>
      </c>
      <c r="C298" s="47">
        <v>246</v>
      </c>
      <c r="D298" s="47" t="s">
        <v>9</v>
      </c>
      <c r="E298" s="48">
        <v>11229</v>
      </c>
      <c r="F298" s="48">
        <v>11339</v>
      </c>
      <c r="G298" s="56">
        <f t="shared" si="8"/>
        <v>0.99029896816297736</v>
      </c>
      <c r="H298" s="47" t="s">
        <v>43</v>
      </c>
      <c r="I298" s="47">
        <v>2023</v>
      </c>
    </row>
    <row r="299" spans="1:9" x14ac:dyDescent="0.2">
      <c r="A299" s="47" t="str">
        <f t="shared" si="9"/>
        <v>11117Abril2023</v>
      </c>
      <c r="B299" s="47">
        <v>4</v>
      </c>
      <c r="C299" s="47">
        <v>11117</v>
      </c>
      <c r="D299" s="47" t="s">
        <v>15</v>
      </c>
      <c r="E299" s="48">
        <v>32772</v>
      </c>
      <c r="F299" s="48">
        <v>33648</v>
      </c>
      <c r="G299" s="56">
        <f t="shared" si="8"/>
        <v>0.97396576319543504</v>
      </c>
      <c r="H299" s="47" t="s">
        <v>43</v>
      </c>
      <c r="I299" s="47">
        <v>2023</v>
      </c>
    </row>
    <row r="300" spans="1:9" x14ac:dyDescent="0.2">
      <c r="A300" s="47" t="str">
        <f t="shared" si="9"/>
        <v>234Abril2023</v>
      </c>
      <c r="B300" s="47">
        <v>5</v>
      </c>
      <c r="C300" s="47">
        <v>234</v>
      </c>
      <c r="D300" s="47" t="s">
        <v>18</v>
      </c>
      <c r="E300" s="48">
        <v>13364</v>
      </c>
      <c r="F300" s="48">
        <v>13983</v>
      </c>
      <c r="G300" s="56">
        <f t="shared" si="8"/>
        <v>0.95573196023743112</v>
      </c>
      <c r="H300" s="47" t="s">
        <v>43</v>
      </c>
      <c r="I300" s="47">
        <v>2023</v>
      </c>
    </row>
    <row r="301" spans="1:9" x14ac:dyDescent="0.2">
      <c r="A301" s="47" t="str">
        <f t="shared" si="9"/>
        <v>236Abril2023</v>
      </c>
      <c r="B301" s="47">
        <v>6</v>
      </c>
      <c r="C301" s="47">
        <v>236</v>
      </c>
      <c r="D301" s="47" t="s">
        <v>25</v>
      </c>
      <c r="E301" s="48">
        <v>13223</v>
      </c>
      <c r="F301" s="48">
        <v>13813</v>
      </c>
      <c r="G301" s="56">
        <f t="shared" si="8"/>
        <v>0.95728661405921955</v>
      </c>
      <c r="H301" s="47" t="s">
        <v>43</v>
      </c>
      <c r="I301" s="47">
        <v>2023</v>
      </c>
    </row>
    <row r="302" spans="1:9" x14ac:dyDescent="0.2">
      <c r="A302" s="47" t="str">
        <f t="shared" si="9"/>
        <v>10951Abril2023</v>
      </c>
      <c r="B302" s="47">
        <v>7</v>
      </c>
      <c r="C302" s="47">
        <v>10951</v>
      </c>
      <c r="D302" s="47" t="s">
        <v>24</v>
      </c>
      <c r="E302" s="48">
        <v>6420</v>
      </c>
      <c r="F302" s="48">
        <v>6793</v>
      </c>
      <c r="G302" s="56">
        <f t="shared" si="8"/>
        <v>0.94509053437361989</v>
      </c>
      <c r="H302" s="47" t="s">
        <v>43</v>
      </c>
      <c r="I302" s="47">
        <v>2023</v>
      </c>
    </row>
    <row r="303" spans="1:9" x14ac:dyDescent="0.2">
      <c r="A303" s="47" t="str">
        <f t="shared" si="9"/>
        <v>11799Abril2023</v>
      </c>
      <c r="B303" s="47">
        <v>8</v>
      </c>
      <c r="C303" s="47">
        <v>11799</v>
      </c>
      <c r="D303" s="47" t="s">
        <v>21</v>
      </c>
      <c r="E303" s="48">
        <v>5767</v>
      </c>
      <c r="F303" s="48">
        <v>6090</v>
      </c>
      <c r="G303" s="56">
        <f t="shared" si="8"/>
        <v>0.94696223316912975</v>
      </c>
      <c r="H303" s="47" t="s">
        <v>43</v>
      </c>
      <c r="I303" s="47">
        <v>2023</v>
      </c>
    </row>
    <row r="304" spans="1:9" x14ac:dyDescent="0.2">
      <c r="A304" s="47" t="str">
        <f t="shared" si="9"/>
        <v>242Abril2023</v>
      </c>
      <c r="B304" s="47">
        <v>9</v>
      </c>
      <c r="C304" s="47">
        <v>242</v>
      </c>
      <c r="D304" s="47" t="s">
        <v>7</v>
      </c>
      <c r="E304" s="48">
        <v>13189</v>
      </c>
      <c r="F304" s="48">
        <v>13982</v>
      </c>
      <c r="G304" s="56">
        <f t="shared" si="8"/>
        <v>0.94328422257187816</v>
      </c>
      <c r="H304" s="47" t="s">
        <v>43</v>
      </c>
      <c r="I304" s="47">
        <v>2023</v>
      </c>
    </row>
    <row r="305" spans="1:9" x14ac:dyDescent="0.2">
      <c r="A305" s="47" t="str">
        <f t="shared" si="9"/>
        <v>11116Abril2023</v>
      </c>
      <c r="B305" s="47">
        <v>10</v>
      </c>
      <c r="C305" s="47">
        <v>11116</v>
      </c>
      <c r="D305" s="47" t="s">
        <v>28</v>
      </c>
      <c r="E305" s="48">
        <v>27309</v>
      </c>
      <c r="F305" s="48">
        <v>30128</v>
      </c>
      <c r="G305" s="56">
        <f t="shared" si="8"/>
        <v>0.90643255443441317</v>
      </c>
      <c r="H305" s="47" t="s">
        <v>43</v>
      </c>
      <c r="I305" s="47">
        <v>2023</v>
      </c>
    </row>
    <row r="306" spans="1:9" x14ac:dyDescent="0.2">
      <c r="A306" s="47" t="str">
        <f t="shared" si="9"/>
        <v>11882Abril2023</v>
      </c>
      <c r="B306" s="47">
        <v>11</v>
      </c>
      <c r="C306" s="47">
        <v>11882</v>
      </c>
      <c r="D306" s="47" t="s">
        <v>22</v>
      </c>
      <c r="E306" s="48">
        <v>3905</v>
      </c>
      <c r="F306" s="48">
        <v>4285</v>
      </c>
      <c r="G306" s="56">
        <f t="shared" si="8"/>
        <v>0.91131855309218202</v>
      </c>
      <c r="H306" s="47" t="s">
        <v>43</v>
      </c>
      <c r="I306" s="47">
        <v>2023</v>
      </c>
    </row>
    <row r="307" spans="1:9" x14ac:dyDescent="0.2">
      <c r="A307" s="47" t="str">
        <f t="shared" si="9"/>
        <v>11931Abril2023</v>
      </c>
      <c r="B307" s="47">
        <v>12</v>
      </c>
      <c r="C307" s="47">
        <v>11931</v>
      </c>
      <c r="D307" s="47" t="s">
        <v>39</v>
      </c>
      <c r="E307" s="48">
        <v>7781</v>
      </c>
      <c r="F307" s="48">
        <v>8531</v>
      </c>
      <c r="G307" s="56">
        <f t="shared" si="8"/>
        <v>0.91208533583401707</v>
      </c>
      <c r="H307" s="47" t="s">
        <v>43</v>
      </c>
      <c r="I307" s="47">
        <v>2023</v>
      </c>
    </row>
    <row r="308" spans="1:9" x14ac:dyDescent="0.2">
      <c r="A308" s="47" t="str">
        <f t="shared" si="9"/>
        <v>241Abril2023</v>
      </c>
      <c r="B308" s="47">
        <v>13</v>
      </c>
      <c r="C308" s="47">
        <v>241</v>
      </c>
      <c r="D308" s="47" t="s">
        <v>30</v>
      </c>
      <c r="E308" s="48">
        <v>8186</v>
      </c>
      <c r="F308" s="48">
        <v>9130</v>
      </c>
      <c r="G308" s="56">
        <f t="shared" si="8"/>
        <v>0.89660460021905808</v>
      </c>
      <c r="H308" s="47" t="s">
        <v>43</v>
      </c>
      <c r="I308" s="47">
        <v>2023</v>
      </c>
    </row>
    <row r="309" spans="1:9" x14ac:dyDescent="0.2">
      <c r="A309" s="47" t="str">
        <f t="shared" si="9"/>
        <v>233Abril2023</v>
      </c>
      <c r="B309" s="47">
        <v>14</v>
      </c>
      <c r="C309" s="47">
        <v>233</v>
      </c>
      <c r="D309" s="47" t="s">
        <v>27</v>
      </c>
      <c r="E309" s="48">
        <v>24222</v>
      </c>
      <c r="F309" s="48">
        <v>27277</v>
      </c>
      <c r="G309" s="56">
        <f t="shared" si="8"/>
        <v>0.88800087986215492</v>
      </c>
      <c r="H309" s="47" t="s">
        <v>43</v>
      </c>
      <c r="I309" s="47">
        <v>2023</v>
      </c>
    </row>
    <row r="310" spans="1:9" x14ac:dyDescent="0.2">
      <c r="A310" s="47" t="str">
        <f t="shared" si="9"/>
        <v>10904Abril2023</v>
      </c>
      <c r="B310" s="47">
        <v>15</v>
      </c>
      <c r="C310" s="47">
        <v>10904</v>
      </c>
      <c r="D310" s="47" t="s">
        <v>29</v>
      </c>
      <c r="E310" s="48">
        <v>4774</v>
      </c>
      <c r="F310" s="48">
        <v>5404</v>
      </c>
      <c r="G310" s="56">
        <f t="shared" si="8"/>
        <v>0.88341968911917101</v>
      </c>
      <c r="H310" s="47" t="s">
        <v>43</v>
      </c>
      <c r="I310" s="47">
        <v>2023</v>
      </c>
    </row>
    <row r="311" spans="1:9" x14ac:dyDescent="0.2">
      <c r="A311" s="47" t="str">
        <f t="shared" si="9"/>
        <v>240Abril2023</v>
      </c>
      <c r="B311" s="47">
        <v>16</v>
      </c>
      <c r="C311" s="47">
        <v>240</v>
      </c>
      <c r="D311" s="47" t="s">
        <v>23</v>
      </c>
      <c r="E311" s="48">
        <v>9740</v>
      </c>
      <c r="F311" s="48">
        <v>11382</v>
      </c>
      <c r="G311" s="56">
        <f t="shared" si="8"/>
        <v>0.85573712879985941</v>
      </c>
      <c r="H311" s="47" t="s">
        <v>43</v>
      </c>
      <c r="I311" s="47">
        <v>2023</v>
      </c>
    </row>
    <row r="312" spans="1:9" x14ac:dyDescent="0.2">
      <c r="A312" s="47" t="str">
        <f t="shared" si="9"/>
        <v>237Abril2023</v>
      </c>
      <c r="B312" s="47">
        <v>17</v>
      </c>
      <c r="C312" s="47">
        <v>237</v>
      </c>
      <c r="D312" s="47" t="s">
        <v>31</v>
      </c>
      <c r="E312" s="48">
        <v>10709</v>
      </c>
      <c r="F312" s="48">
        <v>14172</v>
      </c>
      <c r="G312" s="56">
        <f t="shared" si="8"/>
        <v>0.75564493367202934</v>
      </c>
      <c r="H312" s="47" t="s">
        <v>43</v>
      </c>
      <c r="I312" s="47">
        <v>2023</v>
      </c>
    </row>
    <row r="313" spans="1:9" x14ac:dyDescent="0.2">
      <c r="A313" s="47" t="str">
        <f t="shared" si="9"/>
        <v>239Abril2023</v>
      </c>
      <c r="B313" s="47">
        <v>18</v>
      </c>
      <c r="C313" s="47">
        <v>239</v>
      </c>
      <c r="D313" s="47" t="s">
        <v>32</v>
      </c>
      <c r="E313" s="48">
        <v>8387</v>
      </c>
      <c r="F313" s="48">
        <v>12191</v>
      </c>
      <c r="G313" s="56">
        <f t="shared" si="8"/>
        <v>0.68796653268804853</v>
      </c>
      <c r="H313" s="47" t="s">
        <v>43</v>
      </c>
      <c r="I313" s="47">
        <v>2023</v>
      </c>
    </row>
    <row r="314" spans="1:9" x14ac:dyDescent="0.2">
      <c r="A314" s="47" t="str">
        <f t="shared" si="9"/>
        <v>235Abril2023</v>
      </c>
      <c r="B314" s="47">
        <v>19</v>
      </c>
      <c r="C314" s="47">
        <v>235</v>
      </c>
      <c r="D314" s="47" t="s">
        <v>33</v>
      </c>
      <c r="E314" s="48">
        <v>11486</v>
      </c>
      <c r="F314" s="48">
        <v>16774</v>
      </c>
      <c r="G314" s="56">
        <f t="shared" si="8"/>
        <v>0.68475020865625369</v>
      </c>
      <c r="H314" s="47" t="s">
        <v>43</v>
      </c>
      <c r="I314" s="47">
        <v>2023</v>
      </c>
    </row>
    <row r="315" spans="1:9" x14ac:dyDescent="0.2">
      <c r="A315" s="47" t="str">
        <f t="shared" si="9"/>
        <v>243Abril2023</v>
      </c>
      <c r="B315" s="47">
        <v>20</v>
      </c>
      <c r="C315" s="47">
        <v>243</v>
      </c>
      <c r="D315" s="47" t="s">
        <v>34</v>
      </c>
      <c r="E315" s="48">
        <v>8838</v>
      </c>
      <c r="F315" s="48">
        <v>13265</v>
      </c>
      <c r="G315" s="56">
        <f t="shared" si="8"/>
        <v>0.66626460610629479</v>
      </c>
      <c r="H315" s="47" t="s">
        <v>43</v>
      </c>
      <c r="I315" s="47">
        <v>2023</v>
      </c>
    </row>
    <row r="316" spans="1:9" x14ac:dyDescent="0.2">
      <c r="A316" s="47" t="str">
        <f t="shared" si="9"/>
        <v>238Abril2023</v>
      </c>
      <c r="B316" s="47">
        <v>21</v>
      </c>
      <c r="C316" s="47">
        <v>238</v>
      </c>
      <c r="D316" s="47" t="s">
        <v>35</v>
      </c>
      <c r="E316" s="48">
        <v>3713</v>
      </c>
      <c r="F316" s="48">
        <v>7975</v>
      </c>
      <c r="G316" s="56">
        <f t="shared" si="8"/>
        <v>0.46557993730407521</v>
      </c>
      <c r="H316" s="47" t="s">
        <v>43</v>
      </c>
      <c r="I316" s="47">
        <v>2023</v>
      </c>
    </row>
    <row r="317" spans="1:9" x14ac:dyDescent="0.2">
      <c r="A317" s="47" t="str">
        <f t="shared" si="9"/>
        <v>28745Mayo2023</v>
      </c>
      <c r="B317" s="47">
        <v>1</v>
      </c>
      <c r="C317" s="47">
        <v>28745</v>
      </c>
      <c r="D317" s="47" t="s">
        <v>6</v>
      </c>
      <c r="E317" s="48">
        <v>1800</v>
      </c>
      <c r="F317" s="48">
        <v>1809</v>
      </c>
      <c r="G317" s="56">
        <f t="shared" si="8"/>
        <v>0.99502487562189057</v>
      </c>
      <c r="H317" s="47" t="s">
        <v>44</v>
      </c>
      <c r="I317" s="47">
        <v>2023</v>
      </c>
    </row>
    <row r="318" spans="1:9" x14ac:dyDescent="0.2">
      <c r="A318" s="47" t="str">
        <f t="shared" si="9"/>
        <v>1557Mayo2023</v>
      </c>
      <c r="B318" s="47">
        <v>2</v>
      </c>
      <c r="C318" s="47">
        <v>1557</v>
      </c>
      <c r="D318" s="47" t="s">
        <v>12</v>
      </c>
      <c r="E318" s="48">
        <v>5464</v>
      </c>
      <c r="F318" s="48">
        <v>5515</v>
      </c>
      <c r="G318" s="56">
        <f t="shared" si="8"/>
        <v>0.99075249320036263</v>
      </c>
      <c r="H318" s="47" t="s">
        <v>44</v>
      </c>
      <c r="I318" s="47">
        <v>2023</v>
      </c>
    </row>
    <row r="319" spans="1:9" x14ac:dyDescent="0.2">
      <c r="A319" s="47" t="str">
        <f t="shared" si="9"/>
        <v>246Mayo2023</v>
      </c>
      <c r="B319" s="47">
        <v>3</v>
      </c>
      <c r="C319" s="47">
        <v>246</v>
      </c>
      <c r="D319" s="47" t="s">
        <v>9</v>
      </c>
      <c r="E319" s="48">
        <v>12685</v>
      </c>
      <c r="F319" s="48">
        <v>12807</v>
      </c>
      <c r="G319" s="56">
        <f t="shared" si="8"/>
        <v>0.99047395955336925</v>
      </c>
      <c r="H319" s="47" t="s">
        <v>44</v>
      </c>
      <c r="I319" s="47">
        <v>2023</v>
      </c>
    </row>
    <row r="320" spans="1:9" x14ac:dyDescent="0.2">
      <c r="A320" s="47" t="str">
        <f t="shared" si="9"/>
        <v>11117Mayo2023</v>
      </c>
      <c r="B320" s="47">
        <v>4</v>
      </c>
      <c r="C320" s="47">
        <v>11117</v>
      </c>
      <c r="D320" s="47" t="s">
        <v>15</v>
      </c>
      <c r="E320" s="48">
        <v>39942</v>
      </c>
      <c r="F320" s="48">
        <v>41105</v>
      </c>
      <c r="G320" s="56">
        <f t="shared" ref="G320:G359" si="10">E320/F320</f>
        <v>0.97170660503588369</v>
      </c>
      <c r="H320" s="47" t="s">
        <v>44</v>
      </c>
      <c r="I320" s="47">
        <v>2023</v>
      </c>
    </row>
    <row r="321" spans="1:9" x14ac:dyDescent="0.2">
      <c r="A321" s="47" t="str">
        <f t="shared" si="9"/>
        <v>234Mayo2023</v>
      </c>
      <c r="B321" s="47">
        <v>5</v>
      </c>
      <c r="C321" s="47">
        <v>234</v>
      </c>
      <c r="D321" s="47" t="s">
        <v>18</v>
      </c>
      <c r="E321" s="48">
        <v>15791</v>
      </c>
      <c r="F321" s="48">
        <v>16526</v>
      </c>
      <c r="G321" s="56">
        <f t="shared" si="10"/>
        <v>0.95552462785913106</v>
      </c>
      <c r="H321" s="47" t="s">
        <v>44</v>
      </c>
      <c r="I321" s="47">
        <v>2023</v>
      </c>
    </row>
    <row r="322" spans="1:9" x14ac:dyDescent="0.2">
      <c r="A322" s="47" t="str">
        <f t="shared" si="9"/>
        <v>236Mayo2023</v>
      </c>
      <c r="B322" s="47">
        <v>6</v>
      </c>
      <c r="C322" s="47">
        <v>236</v>
      </c>
      <c r="D322" s="47" t="s">
        <v>25</v>
      </c>
      <c r="E322" s="48">
        <v>15497</v>
      </c>
      <c r="F322" s="48">
        <v>16103</v>
      </c>
      <c r="G322" s="56">
        <f t="shared" si="10"/>
        <v>0.96236726075886481</v>
      </c>
      <c r="H322" s="47" t="s">
        <v>44</v>
      </c>
      <c r="I322" s="47">
        <v>2023</v>
      </c>
    </row>
    <row r="323" spans="1:9" x14ac:dyDescent="0.2">
      <c r="A323" s="47" t="str">
        <f t="shared" si="9"/>
        <v>10951Mayo2023</v>
      </c>
      <c r="B323" s="47">
        <v>7</v>
      </c>
      <c r="C323" s="47">
        <v>10951</v>
      </c>
      <c r="D323" s="47" t="s">
        <v>24</v>
      </c>
      <c r="E323" s="48">
        <v>7758</v>
      </c>
      <c r="F323" s="48">
        <v>8176</v>
      </c>
      <c r="G323" s="56">
        <f t="shared" si="10"/>
        <v>0.94887475538160471</v>
      </c>
      <c r="H323" s="47" t="s">
        <v>44</v>
      </c>
      <c r="I323" s="47">
        <v>2023</v>
      </c>
    </row>
    <row r="324" spans="1:9" x14ac:dyDescent="0.2">
      <c r="A324" s="47" t="str">
        <f t="shared" si="9"/>
        <v>242Mayo2023</v>
      </c>
      <c r="B324" s="47">
        <v>8</v>
      </c>
      <c r="C324" s="47">
        <v>242</v>
      </c>
      <c r="D324" s="47" t="s">
        <v>7</v>
      </c>
      <c r="E324" s="48">
        <v>15716</v>
      </c>
      <c r="F324" s="48">
        <v>16525</v>
      </c>
      <c r="G324" s="56">
        <f t="shared" si="10"/>
        <v>0.95104387291981851</v>
      </c>
      <c r="H324" s="47" t="s">
        <v>44</v>
      </c>
      <c r="I324" s="47">
        <v>2023</v>
      </c>
    </row>
    <row r="325" spans="1:9" x14ac:dyDescent="0.2">
      <c r="A325" s="47" t="str">
        <f t="shared" si="9"/>
        <v>11799Mayo2023</v>
      </c>
      <c r="B325" s="47">
        <v>9</v>
      </c>
      <c r="C325" s="47">
        <v>11799</v>
      </c>
      <c r="D325" s="47" t="s">
        <v>21</v>
      </c>
      <c r="E325" s="48">
        <v>6774</v>
      </c>
      <c r="F325" s="48">
        <v>7268</v>
      </c>
      <c r="G325" s="56">
        <f t="shared" si="10"/>
        <v>0.93203082003302151</v>
      </c>
      <c r="H325" s="47" t="s">
        <v>44</v>
      </c>
      <c r="I325" s="47">
        <v>2023</v>
      </c>
    </row>
    <row r="326" spans="1:9" x14ac:dyDescent="0.2">
      <c r="A326" s="47" t="str">
        <f t="shared" si="9"/>
        <v>11882Mayo2023</v>
      </c>
      <c r="B326" s="47">
        <v>10</v>
      </c>
      <c r="C326" s="47">
        <v>11882</v>
      </c>
      <c r="D326" s="47" t="s">
        <v>22</v>
      </c>
      <c r="E326" s="48">
        <v>4408</v>
      </c>
      <c r="F326" s="48">
        <v>4801</v>
      </c>
      <c r="G326" s="56">
        <f t="shared" si="10"/>
        <v>0.91814205373880442</v>
      </c>
      <c r="H326" s="47" t="s">
        <v>44</v>
      </c>
      <c r="I326" s="47">
        <v>2023</v>
      </c>
    </row>
    <row r="327" spans="1:9" x14ac:dyDescent="0.2">
      <c r="A327" s="47" t="str">
        <f t="shared" si="9"/>
        <v>11116Mayo2023</v>
      </c>
      <c r="B327" s="47">
        <v>11</v>
      </c>
      <c r="C327" s="47">
        <v>11116</v>
      </c>
      <c r="D327" s="47" t="s">
        <v>28</v>
      </c>
      <c r="E327" s="48">
        <v>34897</v>
      </c>
      <c r="F327" s="48">
        <v>38439</v>
      </c>
      <c r="G327" s="56">
        <f t="shared" si="10"/>
        <v>0.90785400244543302</v>
      </c>
      <c r="H327" s="47" t="s">
        <v>44</v>
      </c>
      <c r="I327" s="47">
        <v>2023</v>
      </c>
    </row>
    <row r="328" spans="1:9" x14ac:dyDescent="0.2">
      <c r="A328" s="47" t="str">
        <f t="shared" si="9"/>
        <v>241Mayo2023</v>
      </c>
      <c r="B328" s="47">
        <v>12</v>
      </c>
      <c r="C328" s="47">
        <v>241</v>
      </c>
      <c r="D328" s="47" t="s">
        <v>30</v>
      </c>
      <c r="E328" s="48">
        <v>9592</v>
      </c>
      <c r="F328" s="48">
        <v>10550</v>
      </c>
      <c r="G328" s="56">
        <f t="shared" si="10"/>
        <v>0.90919431279620855</v>
      </c>
      <c r="H328" s="47" t="s">
        <v>44</v>
      </c>
      <c r="I328" s="47">
        <v>2023</v>
      </c>
    </row>
    <row r="329" spans="1:9" x14ac:dyDescent="0.2">
      <c r="A329" s="47" t="str">
        <f t="shared" si="9"/>
        <v>11931Mayo2023</v>
      </c>
      <c r="B329" s="47">
        <v>13</v>
      </c>
      <c r="C329" s="47">
        <v>11931</v>
      </c>
      <c r="D329" s="47" t="s">
        <v>39</v>
      </c>
      <c r="E329" s="48">
        <v>9711</v>
      </c>
      <c r="F329" s="48">
        <v>10707</v>
      </c>
      <c r="G329" s="56">
        <f t="shared" si="10"/>
        <v>0.90697674418604646</v>
      </c>
      <c r="H329" s="47" t="s">
        <v>44</v>
      </c>
      <c r="I329" s="47">
        <v>2023</v>
      </c>
    </row>
    <row r="330" spans="1:9" x14ac:dyDescent="0.2">
      <c r="A330" s="47" t="str">
        <f t="shared" si="9"/>
        <v>10904Mayo2023</v>
      </c>
      <c r="B330" s="47">
        <v>14</v>
      </c>
      <c r="C330" s="47">
        <v>10904</v>
      </c>
      <c r="D330" s="47" t="s">
        <v>29</v>
      </c>
      <c r="E330" s="48">
        <v>5813</v>
      </c>
      <c r="F330" s="48">
        <v>6625</v>
      </c>
      <c r="G330" s="56">
        <f t="shared" si="10"/>
        <v>0.87743396226415094</v>
      </c>
      <c r="H330" s="47" t="s">
        <v>44</v>
      </c>
      <c r="I330" s="47">
        <v>2023</v>
      </c>
    </row>
    <row r="331" spans="1:9" x14ac:dyDescent="0.2">
      <c r="A331" s="47" t="str">
        <f t="shared" si="9"/>
        <v>233Mayo2023</v>
      </c>
      <c r="B331" s="47">
        <v>15</v>
      </c>
      <c r="C331" s="47">
        <v>233</v>
      </c>
      <c r="D331" s="47" t="s">
        <v>27</v>
      </c>
      <c r="E331" s="48">
        <v>28559</v>
      </c>
      <c r="F331" s="48">
        <v>32794</v>
      </c>
      <c r="G331" s="56">
        <f t="shared" si="10"/>
        <v>0.87086052326645114</v>
      </c>
      <c r="H331" s="47" t="s">
        <v>44</v>
      </c>
      <c r="I331" s="47">
        <v>2023</v>
      </c>
    </row>
    <row r="332" spans="1:9" x14ac:dyDescent="0.2">
      <c r="A332" s="47" t="str">
        <f t="shared" si="9"/>
        <v>240Mayo2023</v>
      </c>
      <c r="B332" s="47">
        <v>16</v>
      </c>
      <c r="C332" s="47">
        <v>240</v>
      </c>
      <c r="D332" s="47" t="s">
        <v>23</v>
      </c>
      <c r="E332" s="48">
        <v>12039</v>
      </c>
      <c r="F332" s="48">
        <v>13836</v>
      </c>
      <c r="G332" s="56">
        <f t="shared" si="10"/>
        <v>0.87012142237640933</v>
      </c>
      <c r="H332" s="47" t="s">
        <v>44</v>
      </c>
      <c r="I332" s="47">
        <v>2023</v>
      </c>
    </row>
    <row r="333" spans="1:9" x14ac:dyDescent="0.2">
      <c r="A333" s="47" t="str">
        <f t="shared" si="9"/>
        <v>235Mayo2023</v>
      </c>
      <c r="B333" s="47">
        <v>17</v>
      </c>
      <c r="C333" s="47">
        <v>235</v>
      </c>
      <c r="D333" s="47" t="s">
        <v>33</v>
      </c>
      <c r="E333" s="48">
        <v>13694</v>
      </c>
      <c r="F333" s="48">
        <v>19437</v>
      </c>
      <c r="G333" s="56">
        <f t="shared" si="10"/>
        <v>0.70453259247826305</v>
      </c>
      <c r="H333" s="47" t="s">
        <v>44</v>
      </c>
      <c r="I333" s="47">
        <v>2023</v>
      </c>
    </row>
    <row r="334" spans="1:9" x14ac:dyDescent="0.2">
      <c r="A334" s="47" t="str">
        <f t="shared" si="9"/>
        <v>237Mayo2023</v>
      </c>
      <c r="B334" s="47">
        <v>18</v>
      </c>
      <c r="C334" s="47">
        <v>237</v>
      </c>
      <c r="D334" s="47" t="s">
        <v>31</v>
      </c>
      <c r="E334" s="48">
        <v>13021</v>
      </c>
      <c r="F334" s="48">
        <v>19009</v>
      </c>
      <c r="G334" s="56">
        <f t="shared" si="10"/>
        <v>0.68499131990109952</v>
      </c>
      <c r="H334" s="47" t="s">
        <v>44</v>
      </c>
      <c r="I334" s="47">
        <v>2023</v>
      </c>
    </row>
    <row r="335" spans="1:9" x14ac:dyDescent="0.2">
      <c r="A335" s="47" t="str">
        <f t="shared" si="9"/>
        <v>243Mayo2023</v>
      </c>
      <c r="B335" s="47">
        <v>19</v>
      </c>
      <c r="C335" s="47">
        <v>243</v>
      </c>
      <c r="D335" s="47" t="s">
        <v>34</v>
      </c>
      <c r="E335" s="48">
        <v>10541</v>
      </c>
      <c r="F335" s="48">
        <v>15655</v>
      </c>
      <c r="G335" s="56">
        <f t="shared" si="10"/>
        <v>0.67333120408815073</v>
      </c>
      <c r="H335" s="47" t="s">
        <v>44</v>
      </c>
      <c r="I335" s="47">
        <v>2023</v>
      </c>
    </row>
    <row r="336" spans="1:9" x14ac:dyDescent="0.2">
      <c r="A336" s="47" t="str">
        <f t="shared" si="9"/>
        <v>239Mayo2023</v>
      </c>
      <c r="B336" s="47">
        <v>20</v>
      </c>
      <c r="C336" s="47">
        <v>239</v>
      </c>
      <c r="D336" s="47" t="s">
        <v>32</v>
      </c>
      <c r="E336" s="48">
        <v>10387</v>
      </c>
      <c r="F336" s="48">
        <v>15803</v>
      </c>
      <c r="G336" s="56">
        <f t="shared" si="10"/>
        <v>0.65728026324115674</v>
      </c>
      <c r="H336" s="47" t="s">
        <v>44</v>
      </c>
      <c r="I336" s="47">
        <v>2023</v>
      </c>
    </row>
    <row r="337" spans="1:9" x14ac:dyDescent="0.2">
      <c r="A337" s="47" t="str">
        <f t="shared" si="9"/>
        <v>238Mayo2023</v>
      </c>
      <c r="B337" s="47">
        <v>21</v>
      </c>
      <c r="C337" s="47">
        <v>238</v>
      </c>
      <c r="D337" s="47" t="s">
        <v>35</v>
      </c>
      <c r="E337" s="48">
        <v>5240</v>
      </c>
      <c r="F337" s="48">
        <v>9660</v>
      </c>
      <c r="G337" s="56">
        <f t="shared" si="10"/>
        <v>0.54244306418219457</v>
      </c>
      <c r="H337" s="47" t="s">
        <v>44</v>
      </c>
      <c r="I337" s="47">
        <v>2023</v>
      </c>
    </row>
    <row r="338" spans="1:9" ht="13.2" x14ac:dyDescent="0.25">
      <c r="A338" s="47" t="str">
        <f t="shared" si="9"/>
        <v>1557Junio2023</v>
      </c>
      <c r="B338" s="44">
        <v>1</v>
      </c>
      <c r="C338" s="44">
        <v>1557</v>
      </c>
      <c r="D338" s="51" t="s">
        <v>12</v>
      </c>
      <c r="E338" s="44">
        <v>6863</v>
      </c>
      <c r="F338" s="44">
        <v>6928</v>
      </c>
      <c r="G338" s="56">
        <f t="shared" si="10"/>
        <v>0.99061778290993074</v>
      </c>
      <c r="H338" s="47" t="s">
        <v>45</v>
      </c>
      <c r="I338" s="47">
        <v>2023</v>
      </c>
    </row>
    <row r="339" spans="1:9" ht="13.2" x14ac:dyDescent="0.25">
      <c r="A339" s="47" t="str">
        <f t="shared" si="9"/>
        <v>246Junio2023</v>
      </c>
      <c r="B339" s="44">
        <v>2</v>
      </c>
      <c r="C339" s="44">
        <v>246</v>
      </c>
      <c r="D339" s="51" t="s">
        <v>9</v>
      </c>
      <c r="E339" s="44">
        <v>16403</v>
      </c>
      <c r="F339" s="44">
        <v>16546</v>
      </c>
      <c r="G339" s="56">
        <f t="shared" si="10"/>
        <v>0.99135742777710623</v>
      </c>
      <c r="H339" s="47" t="s">
        <v>45</v>
      </c>
      <c r="I339" s="47">
        <v>2023</v>
      </c>
    </row>
    <row r="340" spans="1:9" ht="13.2" x14ac:dyDescent="0.25">
      <c r="A340" s="47" t="str">
        <f t="shared" si="9"/>
        <v>28745Junio2023</v>
      </c>
      <c r="B340" s="44">
        <v>3</v>
      </c>
      <c r="C340" s="44">
        <v>28745</v>
      </c>
      <c r="D340" s="51" t="s">
        <v>6</v>
      </c>
      <c r="E340" s="44">
        <v>2230</v>
      </c>
      <c r="F340" s="44">
        <v>2244</v>
      </c>
      <c r="G340" s="56">
        <f t="shared" si="10"/>
        <v>0.99376114081996436</v>
      </c>
      <c r="H340" s="47" t="s">
        <v>45</v>
      </c>
      <c r="I340" s="47">
        <v>2023</v>
      </c>
    </row>
    <row r="341" spans="1:9" ht="13.2" x14ac:dyDescent="0.25">
      <c r="A341" s="47" t="str">
        <f t="shared" si="9"/>
        <v>11117Junio2023</v>
      </c>
      <c r="B341" s="44">
        <v>4</v>
      </c>
      <c r="C341" s="44">
        <v>11117</v>
      </c>
      <c r="D341" s="51" t="s">
        <v>15</v>
      </c>
      <c r="E341" s="44">
        <v>51304</v>
      </c>
      <c r="F341" s="44">
        <v>52851</v>
      </c>
      <c r="G341" s="56">
        <f t="shared" si="10"/>
        <v>0.97072903067113203</v>
      </c>
      <c r="H341" s="47" t="s">
        <v>45</v>
      </c>
      <c r="I341" s="47">
        <v>2023</v>
      </c>
    </row>
    <row r="342" spans="1:9" ht="13.2" x14ac:dyDescent="0.25">
      <c r="A342" s="47" t="str">
        <f t="shared" si="9"/>
        <v>236Junio2023</v>
      </c>
      <c r="B342" s="44">
        <v>5</v>
      </c>
      <c r="C342" s="44">
        <v>236</v>
      </c>
      <c r="D342" s="51" t="s">
        <v>25</v>
      </c>
      <c r="E342" s="44">
        <v>20220</v>
      </c>
      <c r="F342" s="44">
        <v>20898</v>
      </c>
      <c r="G342" s="56">
        <f t="shared" si="10"/>
        <v>0.96755670399081251</v>
      </c>
      <c r="H342" s="47" t="s">
        <v>45</v>
      </c>
      <c r="I342" s="47">
        <v>2023</v>
      </c>
    </row>
    <row r="343" spans="1:9" ht="13.2" x14ac:dyDescent="0.25">
      <c r="A343" s="47" t="str">
        <f t="shared" si="9"/>
        <v>242Junio2023</v>
      </c>
      <c r="B343" s="44">
        <v>6</v>
      </c>
      <c r="C343" s="44">
        <v>242</v>
      </c>
      <c r="D343" s="51" t="s">
        <v>7</v>
      </c>
      <c r="E343" s="44">
        <v>20607</v>
      </c>
      <c r="F343" s="44">
        <v>21446</v>
      </c>
      <c r="G343" s="56">
        <f t="shared" si="10"/>
        <v>0.96087848549846122</v>
      </c>
      <c r="H343" s="47" t="s">
        <v>45</v>
      </c>
      <c r="I343" s="47">
        <v>2023</v>
      </c>
    </row>
    <row r="344" spans="1:9" ht="13.2" x14ac:dyDescent="0.25">
      <c r="A344" s="47" t="str">
        <f t="shared" si="9"/>
        <v>10951Junio2023</v>
      </c>
      <c r="B344" s="44">
        <v>7</v>
      </c>
      <c r="C344" s="44">
        <v>10951</v>
      </c>
      <c r="D344" s="51" t="s">
        <v>24</v>
      </c>
      <c r="E344" s="44">
        <v>9278</v>
      </c>
      <c r="F344" s="44">
        <v>9801</v>
      </c>
      <c r="G344" s="56">
        <f t="shared" si="10"/>
        <v>0.94663809815324962</v>
      </c>
      <c r="H344" s="47" t="s">
        <v>45</v>
      </c>
      <c r="I344" s="47">
        <v>2023</v>
      </c>
    </row>
    <row r="345" spans="1:9" ht="13.2" x14ac:dyDescent="0.25">
      <c r="A345" s="47" t="str">
        <f t="shared" si="9"/>
        <v>11799Junio2023</v>
      </c>
      <c r="B345" s="44">
        <v>8</v>
      </c>
      <c r="C345" s="44">
        <v>11799</v>
      </c>
      <c r="D345" s="51" t="s">
        <v>21</v>
      </c>
      <c r="E345" s="44">
        <v>8506</v>
      </c>
      <c r="F345" s="44">
        <v>9043</v>
      </c>
      <c r="G345" s="56">
        <f t="shared" si="10"/>
        <v>0.94061705186331968</v>
      </c>
      <c r="H345" s="47" t="s">
        <v>45</v>
      </c>
      <c r="I345" s="47">
        <v>2023</v>
      </c>
    </row>
    <row r="346" spans="1:9" ht="13.2" x14ac:dyDescent="0.25">
      <c r="A346" s="47" t="str">
        <f t="shared" si="9"/>
        <v>234Junio2023</v>
      </c>
      <c r="B346" s="44">
        <v>9</v>
      </c>
      <c r="C346" s="44">
        <v>234</v>
      </c>
      <c r="D346" s="51" t="s">
        <v>18</v>
      </c>
      <c r="E346" s="44">
        <v>20034</v>
      </c>
      <c r="F346" s="44">
        <v>21467</v>
      </c>
      <c r="G346" s="56">
        <f t="shared" si="10"/>
        <v>0.93324637816182976</v>
      </c>
      <c r="H346" s="47" t="s">
        <v>45</v>
      </c>
      <c r="I346" s="47">
        <v>2023</v>
      </c>
    </row>
    <row r="347" spans="1:9" ht="13.2" x14ac:dyDescent="0.25">
      <c r="A347" s="47" t="str">
        <f t="shared" si="9"/>
        <v>11882Junio2023</v>
      </c>
      <c r="B347" s="44">
        <v>10</v>
      </c>
      <c r="C347" s="44">
        <v>11882</v>
      </c>
      <c r="D347" s="51" t="s">
        <v>22</v>
      </c>
      <c r="E347" s="44">
        <v>5347</v>
      </c>
      <c r="F347" s="44">
        <v>5799</v>
      </c>
      <c r="G347" s="56">
        <f t="shared" si="10"/>
        <v>0.92205552681496805</v>
      </c>
      <c r="H347" s="47" t="s">
        <v>45</v>
      </c>
      <c r="I347" s="47">
        <v>2023</v>
      </c>
    </row>
    <row r="348" spans="1:9" ht="13.2" x14ac:dyDescent="0.25">
      <c r="A348" s="47" t="str">
        <f t="shared" si="9"/>
        <v>241Junio2023</v>
      </c>
      <c r="B348" s="44">
        <v>11</v>
      </c>
      <c r="C348" s="44">
        <v>241</v>
      </c>
      <c r="D348" s="51" t="s">
        <v>30</v>
      </c>
      <c r="E348" s="44">
        <v>12484</v>
      </c>
      <c r="F348" s="44">
        <v>13556</v>
      </c>
      <c r="G348" s="56">
        <f t="shared" si="10"/>
        <v>0.9209206255532606</v>
      </c>
      <c r="H348" s="47" t="s">
        <v>45</v>
      </c>
      <c r="I348" s="47">
        <v>2023</v>
      </c>
    </row>
    <row r="349" spans="1:9" ht="13.2" x14ac:dyDescent="0.25">
      <c r="A349" s="47" t="str">
        <f t="shared" si="9"/>
        <v>11116Junio2023</v>
      </c>
      <c r="B349" s="44">
        <v>12</v>
      </c>
      <c r="C349" s="44">
        <v>11116</v>
      </c>
      <c r="D349" s="51" t="s">
        <v>28</v>
      </c>
      <c r="E349" s="44">
        <v>44418</v>
      </c>
      <c r="F349" s="44">
        <v>48882</v>
      </c>
      <c r="G349" s="56">
        <f t="shared" si="10"/>
        <v>0.90867804099668592</v>
      </c>
      <c r="H349" s="47" t="s">
        <v>45</v>
      </c>
      <c r="I349" s="47">
        <v>2023</v>
      </c>
    </row>
    <row r="350" spans="1:9" ht="13.2" x14ac:dyDescent="0.25">
      <c r="A350" s="47" t="str">
        <f t="shared" si="9"/>
        <v>11931Junio2023</v>
      </c>
      <c r="B350" s="44">
        <v>13</v>
      </c>
      <c r="C350" s="44">
        <v>11931</v>
      </c>
      <c r="D350" s="51" t="s">
        <v>26</v>
      </c>
      <c r="E350" s="44">
        <v>11869</v>
      </c>
      <c r="F350" s="44">
        <v>13136</v>
      </c>
      <c r="G350" s="56">
        <f t="shared" si="10"/>
        <v>0.90354750304506704</v>
      </c>
      <c r="H350" s="47" t="s">
        <v>45</v>
      </c>
      <c r="I350" s="47">
        <v>2023</v>
      </c>
    </row>
    <row r="351" spans="1:9" ht="13.2" x14ac:dyDescent="0.25">
      <c r="A351" s="47" t="str">
        <f t="shared" si="9"/>
        <v>10904Junio2023</v>
      </c>
      <c r="B351" s="44">
        <v>14</v>
      </c>
      <c r="C351" s="44">
        <v>10904</v>
      </c>
      <c r="D351" s="51" t="s">
        <v>29</v>
      </c>
      <c r="E351" s="44">
        <v>7074</v>
      </c>
      <c r="F351" s="44">
        <v>8099</v>
      </c>
      <c r="G351" s="56">
        <f t="shared" si="10"/>
        <v>0.87344116557599705</v>
      </c>
      <c r="H351" s="47" t="s">
        <v>45</v>
      </c>
      <c r="I351" s="47">
        <v>2023</v>
      </c>
    </row>
    <row r="352" spans="1:9" ht="13.2" x14ac:dyDescent="0.25">
      <c r="A352" s="47" t="str">
        <f t="shared" si="9"/>
        <v>240Junio2023</v>
      </c>
      <c r="B352" s="44">
        <v>15</v>
      </c>
      <c r="C352" s="44">
        <v>240</v>
      </c>
      <c r="D352" s="51" t="s">
        <v>23</v>
      </c>
      <c r="E352" s="44">
        <v>14624</v>
      </c>
      <c r="F352" s="44">
        <v>16771</v>
      </c>
      <c r="G352" s="56">
        <f t="shared" si="10"/>
        <v>0.87198139645817185</v>
      </c>
      <c r="H352" s="47" t="s">
        <v>45</v>
      </c>
      <c r="I352" s="47">
        <v>2023</v>
      </c>
    </row>
    <row r="353" spans="1:9" ht="13.2" x14ac:dyDescent="0.25">
      <c r="A353" s="47" t="str">
        <f t="shared" si="9"/>
        <v>233Junio2023</v>
      </c>
      <c r="B353" s="44">
        <v>16</v>
      </c>
      <c r="C353" s="44">
        <v>233</v>
      </c>
      <c r="D353" s="51" t="s">
        <v>27</v>
      </c>
      <c r="E353" s="44">
        <v>35196</v>
      </c>
      <c r="F353" s="44">
        <v>41738</v>
      </c>
      <c r="G353" s="56">
        <f t="shared" si="10"/>
        <v>0.84326033830082903</v>
      </c>
      <c r="H353" s="47" t="s">
        <v>45</v>
      </c>
      <c r="I353" s="47">
        <v>2023</v>
      </c>
    </row>
    <row r="354" spans="1:9" ht="13.2" x14ac:dyDescent="0.25">
      <c r="A354" s="47" t="str">
        <f t="shared" ref="A354:A417" si="11">C354&amp;H354&amp;I354</f>
        <v>243Junio2023</v>
      </c>
      <c r="B354" s="44">
        <v>17</v>
      </c>
      <c r="C354" s="44">
        <v>243</v>
      </c>
      <c r="D354" s="51" t="s">
        <v>34</v>
      </c>
      <c r="E354" s="44">
        <v>14302</v>
      </c>
      <c r="F354" s="44">
        <v>20077</v>
      </c>
      <c r="G354" s="56">
        <f t="shared" si="10"/>
        <v>0.71235742391791601</v>
      </c>
      <c r="H354" s="47" t="s">
        <v>45</v>
      </c>
      <c r="I354" s="47">
        <v>2023</v>
      </c>
    </row>
    <row r="355" spans="1:9" ht="13.2" x14ac:dyDescent="0.25">
      <c r="A355" s="47" t="str">
        <f t="shared" si="11"/>
        <v>237Junio2023</v>
      </c>
      <c r="B355" s="44">
        <v>18</v>
      </c>
      <c r="C355" s="44">
        <v>237</v>
      </c>
      <c r="D355" s="51" t="s">
        <v>31</v>
      </c>
      <c r="E355" s="44">
        <v>17361</v>
      </c>
      <c r="F355" s="44">
        <v>24639</v>
      </c>
      <c r="G355" s="56">
        <f t="shared" si="10"/>
        <v>0.70461463533422619</v>
      </c>
      <c r="H355" s="47" t="s">
        <v>45</v>
      </c>
      <c r="I355" s="47">
        <v>2023</v>
      </c>
    </row>
    <row r="356" spans="1:9" ht="13.2" x14ac:dyDescent="0.25">
      <c r="A356" s="47" t="str">
        <f t="shared" si="11"/>
        <v>235Junio2023</v>
      </c>
      <c r="B356" s="44">
        <v>19</v>
      </c>
      <c r="C356" s="44">
        <v>235</v>
      </c>
      <c r="D356" s="51" t="s">
        <v>33</v>
      </c>
      <c r="E356" s="44">
        <v>15099</v>
      </c>
      <c r="F356" s="44">
        <v>21831</v>
      </c>
      <c r="G356" s="56">
        <f t="shared" si="10"/>
        <v>0.69163116668956992</v>
      </c>
      <c r="H356" s="47" t="s">
        <v>45</v>
      </c>
      <c r="I356" s="47">
        <v>2023</v>
      </c>
    </row>
    <row r="357" spans="1:9" ht="13.2" x14ac:dyDescent="0.25">
      <c r="A357" s="47" t="str">
        <f t="shared" si="11"/>
        <v>239Junio2023</v>
      </c>
      <c r="B357" s="44">
        <v>20</v>
      </c>
      <c r="C357" s="44">
        <v>239</v>
      </c>
      <c r="D357" s="51" t="s">
        <v>32</v>
      </c>
      <c r="E357" s="44">
        <v>13678</v>
      </c>
      <c r="F357" s="44">
        <v>19967</v>
      </c>
      <c r="G357" s="56">
        <f t="shared" si="10"/>
        <v>0.68503029999499176</v>
      </c>
      <c r="H357" s="47" t="s">
        <v>45</v>
      </c>
      <c r="I357" s="47">
        <v>2023</v>
      </c>
    </row>
    <row r="358" spans="1:9" ht="13.2" x14ac:dyDescent="0.25">
      <c r="A358" s="47" t="str">
        <f t="shared" si="11"/>
        <v>238Junio2023</v>
      </c>
      <c r="B358" s="44">
        <v>21</v>
      </c>
      <c r="C358" s="44">
        <v>238</v>
      </c>
      <c r="D358" s="51" t="s">
        <v>35</v>
      </c>
      <c r="E358" s="44">
        <v>6846</v>
      </c>
      <c r="F358" s="44">
        <v>11519</v>
      </c>
      <c r="G358" s="56">
        <f t="shared" si="10"/>
        <v>0.59432242382151224</v>
      </c>
      <c r="H358" s="47" t="s">
        <v>45</v>
      </c>
      <c r="I358" s="47">
        <v>2023</v>
      </c>
    </row>
    <row r="359" spans="1:9" x14ac:dyDescent="0.2">
      <c r="A359" s="47" t="str">
        <f t="shared" si="11"/>
        <v>1557Julio2023</v>
      </c>
      <c r="B359" s="47">
        <v>1</v>
      </c>
      <c r="C359" s="47">
        <v>1557</v>
      </c>
      <c r="D359" s="47" t="s">
        <v>12</v>
      </c>
      <c r="E359" s="48">
        <v>7860</v>
      </c>
      <c r="F359" s="48">
        <v>7928</v>
      </c>
      <c r="G359" s="56">
        <f t="shared" si="10"/>
        <v>0.99142280524722504</v>
      </c>
      <c r="H359" s="47" t="s">
        <v>46</v>
      </c>
      <c r="I359" s="47">
        <v>2023</v>
      </c>
    </row>
    <row r="360" spans="1:9" x14ac:dyDescent="0.2">
      <c r="A360" s="47" t="str">
        <f t="shared" si="11"/>
        <v>246Julio2023</v>
      </c>
      <c r="B360" s="47">
        <v>2</v>
      </c>
      <c r="C360" s="47">
        <v>246</v>
      </c>
      <c r="D360" s="47" t="s">
        <v>9</v>
      </c>
      <c r="E360" s="48">
        <v>19001</v>
      </c>
      <c r="F360" s="48">
        <v>19177</v>
      </c>
      <c r="G360" s="56">
        <f t="shared" ref="G360:G423" si="12">E360/F360</f>
        <v>0.99082233926057262</v>
      </c>
      <c r="H360" s="47" t="s">
        <v>46</v>
      </c>
      <c r="I360" s="47">
        <v>2023</v>
      </c>
    </row>
    <row r="361" spans="1:9" x14ac:dyDescent="0.2">
      <c r="A361" s="47" t="str">
        <f t="shared" si="11"/>
        <v>28745Julio2023</v>
      </c>
      <c r="B361" s="47">
        <v>3</v>
      </c>
      <c r="C361" s="47">
        <v>28745</v>
      </c>
      <c r="D361" s="47" t="s">
        <v>6</v>
      </c>
      <c r="E361" s="48">
        <v>2493</v>
      </c>
      <c r="F361" s="48">
        <v>2508</v>
      </c>
      <c r="G361" s="56">
        <f t="shared" si="12"/>
        <v>0.99401913875598091</v>
      </c>
      <c r="H361" s="47" t="s">
        <v>46</v>
      </c>
      <c r="I361" s="47">
        <v>2023</v>
      </c>
    </row>
    <row r="362" spans="1:9" x14ac:dyDescent="0.2">
      <c r="A362" s="47" t="str">
        <f t="shared" si="11"/>
        <v>11117Julio2023</v>
      </c>
      <c r="B362" s="47">
        <v>4</v>
      </c>
      <c r="C362" s="47">
        <v>11117</v>
      </c>
      <c r="D362" s="47" t="s">
        <v>15</v>
      </c>
      <c r="E362" s="48">
        <v>58543</v>
      </c>
      <c r="F362" s="48">
        <v>60600</v>
      </c>
      <c r="G362" s="56">
        <f t="shared" si="12"/>
        <v>0.9660561056105611</v>
      </c>
      <c r="H362" s="47" t="s">
        <v>46</v>
      </c>
      <c r="I362" s="47">
        <v>2023</v>
      </c>
    </row>
    <row r="363" spans="1:9" x14ac:dyDescent="0.2">
      <c r="A363" s="47" t="str">
        <f t="shared" si="11"/>
        <v>242Julio2023</v>
      </c>
      <c r="B363" s="47">
        <v>5</v>
      </c>
      <c r="C363" s="47">
        <v>242</v>
      </c>
      <c r="D363" s="47" t="s">
        <v>7</v>
      </c>
      <c r="E363" s="48">
        <v>23835</v>
      </c>
      <c r="F363" s="48">
        <v>24698</v>
      </c>
      <c r="G363" s="56">
        <f t="shared" si="12"/>
        <v>0.96505789942505471</v>
      </c>
      <c r="H363" s="47" t="s">
        <v>46</v>
      </c>
      <c r="I363" s="47">
        <v>2023</v>
      </c>
    </row>
    <row r="364" spans="1:9" x14ac:dyDescent="0.2">
      <c r="A364" s="47" t="str">
        <f t="shared" si="11"/>
        <v>236Julio2023</v>
      </c>
      <c r="B364" s="47">
        <v>6</v>
      </c>
      <c r="C364" s="47">
        <v>236</v>
      </c>
      <c r="D364" s="47" t="s">
        <v>25</v>
      </c>
      <c r="E364" s="48">
        <v>23661</v>
      </c>
      <c r="F364" s="48">
        <v>24612</v>
      </c>
      <c r="G364" s="56">
        <f t="shared" si="12"/>
        <v>0.96136031204290595</v>
      </c>
      <c r="H364" s="47" t="s">
        <v>46</v>
      </c>
      <c r="I364" s="47">
        <v>2023</v>
      </c>
    </row>
    <row r="365" spans="1:9" x14ac:dyDescent="0.2">
      <c r="A365" s="47" t="str">
        <f t="shared" si="11"/>
        <v>10951Julio2023</v>
      </c>
      <c r="B365" s="47">
        <v>7</v>
      </c>
      <c r="C365" s="47">
        <v>10951</v>
      </c>
      <c r="D365" s="47" t="s">
        <v>24</v>
      </c>
      <c r="E365" s="48">
        <v>10290</v>
      </c>
      <c r="F365" s="48">
        <v>10914</v>
      </c>
      <c r="G365" s="56">
        <f t="shared" si="12"/>
        <v>0.94282572842221002</v>
      </c>
      <c r="H365" s="47" t="s">
        <v>46</v>
      </c>
      <c r="I365" s="47">
        <v>2023</v>
      </c>
    </row>
    <row r="366" spans="1:9" x14ac:dyDescent="0.2">
      <c r="A366" s="47" t="str">
        <f t="shared" si="11"/>
        <v>11799Julio2023</v>
      </c>
      <c r="B366" s="47">
        <v>8</v>
      </c>
      <c r="C366" s="47">
        <v>11799</v>
      </c>
      <c r="D366" s="47" t="s">
        <v>21</v>
      </c>
      <c r="E366" s="48">
        <v>9585</v>
      </c>
      <c r="F366" s="48">
        <v>10146</v>
      </c>
      <c r="G366" s="56">
        <f t="shared" si="12"/>
        <v>0.94470727380248376</v>
      </c>
      <c r="H366" s="47" t="s">
        <v>46</v>
      </c>
      <c r="I366" s="47">
        <v>2023</v>
      </c>
    </row>
    <row r="367" spans="1:9" x14ac:dyDescent="0.2">
      <c r="A367" s="47" t="str">
        <f t="shared" si="11"/>
        <v>234Julio2023</v>
      </c>
      <c r="B367" s="47">
        <v>9</v>
      </c>
      <c r="C367" s="47">
        <v>234</v>
      </c>
      <c r="D367" s="47" t="s">
        <v>18</v>
      </c>
      <c r="E367" s="48">
        <v>23032</v>
      </c>
      <c r="F367" s="48">
        <v>24675</v>
      </c>
      <c r="G367" s="56">
        <f t="shared" si="12"/>
        <v>0.93341438703140833</v>
      </c>
      <c r="H367" s="47" t="s">
        <v>46</v>
      </c>
      <c r="I367" s="47">
        <v>2023</v>
      </c>
    </row>
    <row r="368" spans="1:9" x14ac:dyDescent="0.2">
      <c r="A368" s="47" t="str">
        <f t="shared" si="11"/>
        <v>241Julio2023</v>
      </c>
      <c r="B368" s="47">
        <v>10</v>
      </c>
      <c r="C368" s="47">
        <v>241</v>
      </c>
      <c r="D368" s="47" t="s">
        <v>30</v>
      </c>
      <c r="E368" s="48">
        <v>14328</v>
      </c>
      <c r="F368" s="48">
        <v>15490</v>
      </c>
      <c r="G368" s="56">
        <f t="shared" si="12"/>
        <v>0.92498386055519688</v>
      </c>
      <c r="H368" s="47" t="s">
        <v>46</v>
      </c>
      <c r="I368" s="47">
        <v>2023</v>
      </c>
    </row>
    <row r="369" spans="1:9" x14ac:dyDescent="0.2">
      <c r="A369" s="47" t="str">
        <f t="shared" si="11"/>
        <v>11116Julio2023</v>
      </c>
      <c r="B369" s="47">
        <v>11</v>
      </c>
      <c r="C369" s="47">
        <v>11116</v>
      </c>
      <c r="D369" s="47" t="s">
        <v>28</v>
      </c>
      <c r="E369" s="48">
        <v>51413</v>
      </c>
      <c r="F369" s="48">
        <v>56629</v>
      </c>
      <c r="G369" s="56">
        <f t="shared" si="12"/>
        <v>0.90789171625845411</v>
      </c>
      <c r="H369" s="47" t="s">
        <v>46</v>
      </c>
      <c r="I369" s="47">
        <v>2023</v>
      </c>
    </row>
    <row r="370" spans="1:9" x14ac:dyDescent="0.2">
      <c r="A370" s="47" t="str">
        <f t="shared" si="11"/>
        <v>11882Julio2023</v>
      </c>
      <c r="B370" s="47">
        <v>12</v>
      </c>
      <c r="C370" s="47">
        <v>11882</v>
      </c>
      <c r="D370" s="47" t="s">
        <v>22</v>
      </c>
      <c r="E370" s="48">
        <v>6376</v>
      </c>
      <c r="F370" s="48">
        <v>7016</v>
      </c>
      <c r="G370" s="56">
        <f t="shared" si="12"/>
        <v>0.90877993158494874</v>
      </c>
      <c r="H370" s="47" t="s">
        <v>46</v>
      </c>
      <c r="I370" s="47">
        <v>2023</v>
      </c>
    </row>
    <row r="371" spans="1:9" x14ac:dyDescent="0.2">
      <c r="A371" s="47" t="str">
        <f t="shared" si="11"/>
        <v>11931Julio2023</v>
      </c>
      <c r="B371" s="47">
        <v>13</v>
      </c>
      <c r="C371" s="47">
        <v>11931</v>
      </c>
      <c r="D371" s="47" t="s">
        <v>26</v>
      </c>
      <c r="E371" s="48">
        <v>13654</v>
      </c>
      <c r="F371" s="48">
        <v>15136</v>
      </c>
      <c r="G371" s="56">
        <f t="shared" si="12"/>
        <v>0.90208773784355178</v>
      </c>
      <c r="H371" s="47" t="s">
        <v>46</v>
      </c>
      <c r="I371" s="47">
        <v>2023</v>
      </c>
    </row>
    <row r="372" spans="1:9" x14ac:dyDescent="0.2">
      <c r="A372" s="47" t="str">
        <f t="shared" si="11"/>
        <v>10904Julio2023</v>
      </c>
      <c r="B372" s="47">
        <v>14</v>
      </c>
      <c r="C372" s="47">
        <v>10904</v>
      </c>
      <c r="D372" s="47" t="s">
        <v>29</v>
      </c>
      <c r="E372" s="48">
        <v>8269</v>
      </c>
      <c r="F372" s="48">
        <v>9588</v>
      </c>
      <c r="G372" s="56">
        <f t="shared" si="12"/>
        <v>0.8624322069253233</v>
      </c>
      <c r="H372" s="47" t="s">
        <v>46</v>
      </c>
      <c r="I372" s="47">
        <v>2023</v>
      </c>
    </row>
    <row r="373" spans="1:9" x14ac:dyDescent="0.2">
      <c r="A373" s="47" t="str">
        <f t="shared" si="11"/>
        <v>233Julio2023</v>
      </c>
      <c r="B373" s="47">
        <v>15</v>
      </c>
      <c r="C373" s="47">
        <v>233</v>
      </c>
      <c r="D373" s="47" t="s">
        <v>27</v>
      </c>
      <c r="E373" s="48">
        <v>40779</v>
      </c>
      <c r="F373" s="48">
        <v>48456</v>
      </c>
      <c r="G373" s="56">
        <f t="shared" si="12"/>
        <v>0.84156760772659733</v>
      </c>
      <c r="H373" s="47" t="s">
        <v>46</v>
      </c>
      <c r="I373" s="47">
        <v>2023</v>
      </c>
    </row>
    <row r="374" spans="1:9" x14ac:dyDescent="0.2">
      <c r="A374" s="47" t="str">
        <f t="shared" si="11"/>
        <v>240Julio2023</v>
      </c>
      <c r="B374" s="47">
        <v>16</v>
      </c>
      <c r="C374" s="47">
        <v>240</v>
      </c>
      <c r="D374" s="47" t="s">
        <v>23</v>
      </c>
      <c r="E374" s="48">
        <v>15193</v>
      </c>
      <c r="F374" s="48">
        <v>18833</v>
      </c>
      <c r="G374" s="56">
        <f t="shared" si="12"/>
        <v>0.80672224287155525</v>
      </c>
      <c r="H374" s="47" t="s">
        <v>46</v>
      </c>
      <c r="I374" s="47">
        <v>2023</v>
      </c>
    </row>
    <row r="375" spans="1:9" x14ac:dyDescent="0.2">
      <c r="A375" s="47" t="str">
        <f t="shared" si="11"/>
        <v>243Julio2023</v>
      </c>
      <c r="B375" s="47">
        <v>17</v>
      </c>
      <c r="C375" s="47">
        <v>243</v>
      </c>
      <c r="D375" s="47" t="s">
        <v>34</v>
      </c>
      <c r="E375" s="48">
        <v>16679</v>
      </c>
      <c r="F375" s="48">
        <v>22557</v>
      </c>
      <c r="G375" s="56">
        <f t="shared" si="12"/>
        <v>0.73941570244270072</v>
      </c>
      <c r="H375" s="47" t="s">
        <v>46</v>
      </c>
      <c r="I375" s="47">
        <v>2023</v>
      </c>
    </row>
    <row r="376" spans="1:9" x14ac:dyDescent="0.2">
      <c r="A376" s="47" t="str">
        <f t="shared" si="11"/>
        <v>239Julio2023</v>
      </c>
      <c r="B376" s="47">
        <v>18</v>
      </c>
      <c r="C376" s="47">
        <v>239</v>
      </c>
      <c r="D376" s="47" t="s">
        <v>32</v>
      </c>
      <c r="E376" s="48">
        <v>16503</v>
      </c>
      <c r="F376" s="48">
        <v>23155</v>
      </c>
      <c r="G376" s="56">
        <f t="shared" si="12"/>
        <v>0.71271863528395596</v>
      </c>
      <c r="H376" s="47" t="s">
        <v>46</v>
      </c>
      <c r="I376" s="47">
        <v>2023</v>
      </c>
    </row>
    <row r="377" spans="1:9" x14ac:dyDescent="0.2">
      <c r="A377" s="47" t="str">
        <f t="shared" si="11"/>
        <v>237Julio2023</v>
      </c>
      <c r="B377" s="47">
        <v>19</v>
      </c>
      <c r="C377" s="47">
        <v>237</v>
      </c>
      <c r="D377" s="47" t="s">
        <v>31</v>
      </c>
      <c r="E377" s="48">
        <v>19758</v>
      </c>
      <c r="F377" s="48">
        <v>28415</v>
      </c>
      <c r="G377" s="56">
        <f t="shared" si="12"/>
        <v>0.69533696991025862</v>
      </c>
      <c r="H377" s="47" t="s">
        <v>46</v>
      </c>
      <c r="I377" s="47">
        <v>2023</v>
      </c>
    </row>
    <row r="378" spans="1:9" x14ac:dyDescent="0.2">
      <c r="A378" s="47" t="str">
        <f t="shared" si="11"/>
        <v>235Julio2023</v>
      </c>
      <c r="B378" s="47">
        <v>20</v>
      </c>
      <c r="C378" s="47">
        <v>235</v>
      </c>
      <c r="D378" s="47" t="s">
        <v>33</v>
      </c>
      <c r="E378" s="48">
        <v>15457</v>
      </c>
      <c r="F378" s="48">
        <v>22798</v>
      </c>
      <c r="G378" s="56">
        <f t="shared" si="12"/>
        <v>0.67799807000614087</v>
      </c>
      <c r="H378" s="47" t="s">
        <v>46</v>
      </c>
      <c r="I378" s="47">
        <v>2023</v>
      </c>
    </row>
    <row r="379" spans="1:9" x14ac:dyDescent="0.2">
      <c r="A379" s="47" t="str">
        <f t="shared" si="11"/>
        <v>238Julio2023</v>
      </c>
      <c r="B379" s="47">
        <v>21</v>
      </c>
      <c r="C379" s="47">
        <v>238</v>
      </c>
      <c r="D379" s="47" t="s">
        <v>35</v>
      </c>
      <c r="E379" s="48">
        <v>7171</v>
      </c>
      <c r="F379" s="48">
        <v>12118</v>
      </c>
      <c r="G379" s="56">
        <f t="shared" si="12"/>
        <v>0.59176431754414915</v>
      </c>
      <c r="H379" s="47" t="s">
        <v>46</v>
      </c>
      <c r="I379" s="47">
        <v>2023</v>
      </c>
    </row>
    <row r="380" spans="1:9" x14ac:dyDescent="0.2">
      <c r="A380" s="47" t="str">
        <f t="shared" si="11"/>
        <v>11117Septiembre2023</v>
      </c>
      <c r="B380" s="47">
        <v>1</v>
      </c>
      <c r="C380" s="47">
        <v>11117</v>
      </c>
      <c r="D380" s="47" t="s">
        <v>15</v>
      </c>
      <c r="E380" s="48">
        <v>71609</v>
      </c>
      <c r="F380" s="48">
        <v>74019</v>
      </c>
      <c r="G380" s="56">
        <f t="shared" si="12"/>
        <v>0.96744079222902224</v>
      </c>
      <c r="H380" s="47" t="s">
        <v>48</v>
      </c>
      <c r="I380" s="47">
        <v>2023</v>
      </c>
    </row>
    <row r="381" spans="1:9" x14ac:dyDescent="0.2">
      <c r="A381" s="47" t="str">
        <f t="shared" si="11"/>
        <v>242Septiembre2023</v>
      </c>
      <c r="B381" s="47">
        <v>2</v>
      </c>
      <c r="C381" s="47">
        <v>242</v>
      </c>
      <c r="D381" s="47" t="s">
        <v>7</v>
      </c>
      <c r="E381" s="48">
        <v>29497</v>
      </c>
      <c r="F381" s="48">
        <v>30516</v>
      </c>
      <c r="G381" s="56">
        <f t="shared" si="12"/>
        <v>0.96660768121641105</v>
      </c>
      <c r="H381" s="47" t="s">
        <v>48</v>
      </c>
      <c r="I381" s="47">
        <v>2023</v>
      </c>
    </row>
    <row r="382" spans="1:9" x14ac:dyDescent="0.2">
      <c r="A382" s="47" t="str">
        <f t="shared" si="11"/>
        <v>236Septiembre2023</v>
      </c>
      <c r="B382" s="47">
        <v>3</v>
      </c>
      <c r="C382" s="47">
        <v>236</v>
      </c>
      <c r="D382" s="47" t="s">
        <v>25</v>
      </c>
      <c r="E382" s="48">
        <v>29051</v>
      </c>
      <c r="F382" s="48">
        <v>30293</v>
      </c>
      <c r="G382" s="56">
        <f t="shared" si="12"/>
        <v>0.95900042914204597</v>
      </c>
      <c r="H382" s="47" t="s">
        <v>48</v>
      </c>
      <c r="I382" s="47">
        <v>2023</v>
      </c>
    </row>
    <row r="383" spans="1:9" x14ac:dyDescent="0.2">
      <c r="A383" s="47" t="str">
        <f t="shared" si="11"/>
        <v>246Septiembre2023</v>
      </c>
      <c r="B383" s="47">
        <v>4</v>
      </c>
      <c r="C383" s="47">
        <v>246</v>
      </c>
      <c r="D383" s="47" t="s">
        <v>9</v>
      </c>
      <c r="E383" s="48">
        <v>22483</v>
      </c>
      <c r="F383" s="48">
        <v>23423</v>
      </c>
      <c r="G383" s="56">
        <f t="shared" si="12"/>
        <v>0.95986850531528844</v>
      </c>
      <c r="H383" s="47" t="s">
        <v>48</v>
      </c>
      <c r="I383" s="47">
        <v>2023</v>
      </c>
    </row>
    <row r="384" spans="1:9" x14ac:dyDescent="0.2">
      <c r="A384" s="47" t="str">
        <f t="shared" si="11"/>
        <v>11799Septiembre2023</v>
      </c>
      <c r="B384" s="47">
        <v>5</v>
      </c>
      <c r="C384" s="47">
        <v>11799</v>
      </c>
      <c r="D384" s="47" t="s">
        <v>21</v>
      </c>
      <c r="E384" s="48">
        <v>12818</v>
      </c>
      <c r="F384" s="48">
        <v>13464</v>
      </c>
      <c r="G384" s="56">
        <f t="shared" si="12"/>
        <v>0.95202020202020199</v>
      </c>
      <c r="H384" s="47" t="s">
        <v>48</v>
      </c>
      <c r="I384" s="47">
        <v>2023</v>
      </c>
    </row>
    <row r="385" spans="1:9" x14ac:dyDescent="0.2">
      <c r="A385" s="47" t="str">
        <f t="shared" si="11"/>
        <v>1557Septiembre2023</v>
      </c>
      <c r="B385" s="47">
        <v>6</v>
      </c>
      <c r="C385" s="47">
        <v>1557</v>
      </c>
      <c r="D385" s="47" t="s">
        <v>12</v>
      </c>
      <c r="E385" s="48">
        <v>8432</v>
      </c>
      <c r="F385" s="48">
        <v>8973</v>
      </c>
      <c r="G385" s="56">
        <f t="shared" si="12"/>
        <v>0.93970801292767192</v>
      </c>
      <c r="H385" s="47" t="s">
        <v>48</v>
      </c>
      <c r="I385" s="47">
        <v>2023</v>
      </c>
    </row>
    <row r="386" spans="1:9" x14ac:dyDescent="0.2">
      <c r="A386" s="47" t="str">
        <f t="shared" si="11"/>
        <v>10951Septiembre2023</v>
      </c>
      <c r="B386" s="47">
        <v>7</v>
      </c>
      <c r="C386" s="47">
        <v>10951</v>
      </c>
      <c r="D386" s="47" t="s">
        <v>24</v>
      </c>
      <c r="E386" s="48">
        <v>12478</v>
      </c>
      <c r="F386" s="48">
        <v>13435</v>
      </c>
      <c r="G386" s="56">
        <f t="shared" si="12"/>
        <v>0.92876814291030885</v>
      </c>
      <c r="H386" s="47" t="s">
        <v>48</v>
      </c>
      <c r="I386" s="47">
        <v>2023</v>
      </c>
    </row>
    <row r="387" spans="1:9" x14ac:dyDescent="0.2">
      <c r="A387" s="47" t="str">
        <f t="shared" si="11"/>
        <v>234Septiembre2023</v>
      </c>
      <c r="B387" s="47">
        <v>8</v>
      </c>
      <c r="C387" s="47">
        <v>234</v>
      </c>
      <c r="D387" s="47" t="s">
        <v>18</v>
      </c>
      <c r="E387" s="48">
        <v>28685</v>
      </c>
      <c r="F387" s="48">
        <v>31015</v>
      </c>
      <c r="G387" s="56">
        <f t="shared" si="12"/>
        <v>0.92487506045461876</v>
      </c>
      <c r="H387" s="47" t="s">
        <v>48</v>
      </c>
      <c r="I387" s="47">
        <v>2023</v>
      </c>
    </row>
    <row r="388" spans="1:9" x14ac:dyDescent="0.2">
      <c r="A388" s="47" t="str">
        <f t="shared" si="11"/>
        <v>11882Septiembre2023</v>
      </c>
      <c r="B388" s="47">
        <v>9</v>
      </c>
      <c r="C388" s="47">
        <v>11882</v>
      </c>
      <c r="D388" s="47" t="s">
        <v>22</v>
      </c>
      <c r="E388" s="48">
        <v>8335</v>
      </c>
      <c r="F388" s="48">
        <v>9122</v>
      </c>
      <c r="G388" s="56">
        <f t="shared" si="12"/>
        <v>0.91372506029379519</v>
      </c>
      <c r="H388" s="47" t="s">
        <v>48</v>
      </c>
      <c r="I388" s="47">
        <v>2023</v>
      </c>
    </row>
    <row r="389" spans="1:9" x14ac:dyDescent="0.2">
      <c r="A389" s="47" t="str">
        <f t="shared" si="11"/>
        <v>241Septiembre2023</v>
      </c>
      <c r="B389" s="47">
        <v>10</v>
      </c>
      <c r="C389" s="47">
        <v>241</v>
      </c>
      <c r="D389" s="47" t="s">
        <v>30</v>
      </c>
      <c r="E389" s="48">
        <v>17764</v>
      </c>
      <c r="F389" s="48">
        <v>19567</v>
      </c>
      <c r="G389" s="56">
        <f t="shared" si="12"/>
        <v>0.90785506209434252</v>
      </c>
      <c r="H389" s="47" t="s">
        <v>48</v>
      </c>
      <c r="I389" s="47">
        <v>2023</v>
      </c>
    </row>
    <row r="390" spans="1:9" x14ac:dyDescent="0.2">
      <c r="A390" s="47" t="str">
        <f t="shared" si="11"/>
        <v>11116Septiembre2023</v>
      </c>
      <c r="B390" s="47">
        <v>11</v>
      </c>
      <c r="C390" s="47">
        <v>11116</v>
      </c>
      <c r="D390" s="47" t="s">
        <v>28</v>
      </c>
      <c r="E390" s="48">
        <v>63788</v>
      </c>
      <c r="F390" s="48">
        <v>70508</v>
      </c>
      <c r="G390" s="56">
        <f t="shared" si="12"/>
        <v>0.90469166619390706</v>
      </c>
      <c r="H390" s="47" t="s">
        <v>48</v>
      </c>
      <c r="I390" s="47">
        <v>2023</v>
      </c>
    </row>
    <row r="391" spans="1:9" x14ac:dyDescent="0.2">
      <c r="A391" s="47" t="str">
        <f t="shared" si="11"/>
        <v>11931Septiembre2023</v>
      </c>
      <c r="B391" s="47">
        <v>12</v>
      </c>
      <c r="C391" s="47">
        <v>11931</v>
      </c>
      <c r="D391" s="47" t="s">
        <v>26</v>
      </c>
      <c r="E391" s="48">
        <v>16624</v>
      </c>
      <c r="F391" s="48">
        <v>18474</v>
      </c>
      <c r="G391" s="56">
        <f t="shared" si="12"/>
        <v>0.89985926166504271</v>
      </c>
      <c r="H391" s="47" t="s">
        <v>48</v>
      </c>
      <c r="I391" s="47">
        <v>2023</v>
      </c>
    </row>
    <row r="392" spans="1:9" x14ac:dyDescent="0.2">
      <c r="A392" s="47" t="str">
        <f t="shared" si="11"/>
        <v>28745Septiembre2023</v>
      </c>
      <c r="B392" s="47">
        <v>13</v>
      </c>
      <c r="C392" s="47">
        <v>28745</v>
      </c>
      <c r="D392" s="47" t="s">
        <v>6</v>
      </c>
      <c r="E392" s="48">
        <v>2676</v>
      </c>
      <c r="F392" s="48">
        <v>3121</v>
      </c>
      <c r="G392" s="56">
        <f t="shared" si="12"/>
        <v>0.85741749439282278</v>
      </c>
      <c r="H392" s="47" t="s">
        <v>48</v>
      </c>
      <c r="I392" s="47">
        <v>2023</v>
      </c>
    </row>
    <row r="393" spans="1:9" x14ac:dyDescent="0.2">
      <c r="A393" s="47" t="str">
        <f t="shared" si="11"/>
        <v>10904Septiembre2023</v>
      </c>
      <c r="B393" s="47">
        <v>14</v>
      </c>
      <c r="C393" s="47">
        <v>10904</v>
      </c>
      <c r="D393" s="47" t="s">
        <v>29</v>
      </c>
      <c r="E393" s="48">
        <v>10023</v>
      </c>
      <c r="F393" s="48">
        <v>11808</v>
      </c>
      <c r="G393" s="56">
        <f t="shared" si="12"/>
        <v>0.84883130081300817</v>
      </c>
      <c r="H393" s="47" t="s">
        <v>48</v>
      </c>
      <c r="I393" s="47">
        <v>2023</v>
      </c>
    </row>
    <row r="394" spans="1:9" x14ac:dyDescent="0.2">
      <c r="A394" s="47" t="str">
        <f t="shared" si="11"/>
        <v>233Septiembre2023</v>
      </c>
      <c r="B394" s="47">
        <v>15</v>
      </c>
      <c r="C394" s="47">
        <v>233</v>
      </c>
      <c r="D394" s="47" t="s">
        <v>27</v>
      </c>
      <c r="E394" s="48">
        <v>55139</v>
      </c>
      <c r="F394" s="48">
        <v>66395</v>
      </c>
      <c r="G394" s="56">
        <f t="shared" si="12"/>
        <v>0.8304691618344755</v>
      </c>
      <c r="H394" s="47" t="s">
        <v>48</v>
      </c>
      <c r="I394" s="47">
        <v>2023</v>
      </c>
    </row>
    <row r="395" spans="1:9" x14ac:dyDescent="0.2">
      <c r="A395" s="47" t="str">
        <f t="shared" si="11"/>
        <v>240Septiembre2023</v>
      </c>
      <c r="B395" s="47">
        <v>16</v>
      </c>
      <c r="C395" s="47">
        <v>240</v>
      </c>
      <c r="D395" s="47" t="s">
        <v>23</v>
      </c>
      <c r="E395" s="48">
        <v>17433</v>
      </c>
      <c r="F395" s="48">
        <v>21627</v>
      </c>
      <c r="G395" s="56">
        <f t="shared" si="12"/>
        <v>0.80607573866000837</v>
      </c>
      <c r="H395" s="47" t="s">
        <v>48</v>
      </c>
      <c r="I395" s="47">
        <v>2023</v>
      </c>
    </row>
    <row r="396" spans="1:9" x14ac:dyDescent="0.2">
      <c r="A396" s="47" t="str">
        <f t="shared" si="11"/>
        <v>243Septiembre2023</v>
      </c>
      <c r="B396" s="47">
        <v>17</v>
      </c>
      <c r="C396" s="47">
        <v>243</v>
      </c>
      <c r="D396" s="47" t="s">
        <v>34</v>
      </c>
      <c r="E396" s="48">
        <v>22070</v>
      </c>
      <c r="F396" s="48">
        <v>29236</v>
      </c>
      <c r="G396" s="56">
        <f t="shared" si="12"/>
        <v>0.7548912299904228</v>
      </c>
      <c r="H396" s="47" t="s">
        <v>48</v>
      </c>
      <c r="I396" s="47">
        <v>2023</v>
      </c>
    </row>
    <row r="397" spans="1:9" x14ac:dyDescent="0.2">
      <c r="A397" s="47" t="str">
        <f t="shared" si="11"/>
        <v>237Septiembre2023</v>
      </c>
      <c r="B397" s="47">
        <v>18</v>
      </c>
      <c r="C397" s="47">
        <v>237</v>
      </c>
      <c r="D397" s="47" t="s">
        <v>31</v>
      </c>
      <c r="E397" s="48">
        <v>26672</v>
      </c>
      <c r="F397" s="48">
        <v>37259</v>
      </c>
      <c r="G397" s="56">
        <f t="shared" si="12"/>
        <v>0.71585388765130575</v>
      </c>
      <c r="H397" s="47" t="s">
        <v>48</v>
      </c>
      <c r="I397" s="47">
        <v>2023</v>
      </c>
    </row>
    <row r="398" spans="1:9" x14ac:dyDescent="0.2">
      <c r="A398" s="47" t="str">
        <f t="shared" si="11"/>
        <v>235Septiembre2023</v>
      </c>
      <c r="B398" s="47">
        <v>19</v>
      </c>
      <c r="C398" s="47">
        <v>235</v>
      </c>
      <c r="D398" s="47" t="s">
        <v>33</v>
      </c>
      <c r="E398" s="48">
        <v>19762</v>
      </c>
      <c r="F398" s="48">
        <v>27974</v>
      </c>
      <c r="G398" s="56">
        <f t="shared" si="12"/>
        <v>0.70644169586044181</v>
      </c>
      <c r="H398" s="47" t="s">
        <v>48</v>
      </c>
      <c r="I398" s="47">
        <v>2023</v>
      </c>
    </row>
    <row r="399" spans="1:9" x14ac:dyDescent="0.2">
      <c r="A399" s="47" t="str">
        <f t="shared" si="11"/>
        <v>239Septiembre2023</v>
      </c>
      <c r="B399" s="47">
        <v>20</v>
      </c>
      <c r="C399" s="47">
        <v>239</v>
      </c>
      <c r="D399" s="47" t="s">
        <v>32</v>
      </c>
      <c r="E399" s="48">
        <v>19897</v>
      </c>
      <c r="F399" s="48">
        <v>27967</v>
      </c>
      <c r="G399" s="56">
        <f t="shared" si="12"/>
        <v>0.71144563235241531</v>
      </c>
      <c r="H399" s="47" t="s">
        <v>48</v>
      </c>
      <c r="I399" s="47">
        <v>2023</v>
      </c>
    </row>
    <row r="400" spans="1:9" x14ac:dyDescent="0.2">
      <c r="A400" s="47" t="str">
        <f t="shared" si="11"/>
        <v>238Septiembre2023</v>
      </c>
      <c r="B400" s="47">
        <v>21</v>
      </c>
      <c r="C400" s="47">
        <v>238</v>
      </c>
      <c r="D400" s="47" t="s">
        <v>35</v>
      </c>
      <c r="E400" s="48">
        <v>9889</v>
      </c>
      <c r="F400" s="48">
        <v>16359</v>
      </c>
      <c r="G400" s="56">
        <f t="shared" si="12"/>
        <v>0.60449905250932212</v>
      </c>
      <c r="H400" s="47" t="s">
        <v>48</v>
      </c>
      <c r="I400" s="47">
        <v>2023</v>
      </c>
    </row>
    <row r="401" spans="1:9" x14ac:dyDescent="0.2">
      <c r="A401" s="47" t="str">
        <f t="shared" si="11"/>
        <v>11117Octubre2023</v>
      </c>
      <c r="B401" s="47">
        <v>1</v>
      </c>
      <c r="C401" s="47">
        <v>11117</v>
      </c>
      <c r="D401" s="47" t="s">
        <v>15</v>
      </c>
      <c r="E401" s="48">
        <v>80232</v>
      </c>
      <c r="F401" s="48">
        <v>82890</v>
      </c>
      <c r="G401" s="56">
        <f t="shared" si="12"/>
        <v>0.96793340571842201</v>
      </c>
      <c r="H401" s="47" t="s">
        <v>49</v>
      </c>
      <c r="I401" s="47">
        <v>2023</v>
      </c>
    </row>
    <row r="402" spans="1:9" x14ac:dyDescent="0.2">
      <c r="A402" s="47" t="str">
        <f t="shared" si="11"/>
        <v>236Octubre2023</v>
      </c>
      <c r="B402" s="47">
        <v>2</v>
      </c>
      <c r="C402" s="47">
        <v>236</v>
      </c>
      <c r="D402" s="47" t="s">
        <v>25</v>
      </c>
      <c r="E402" s="48">
        <v>32605</v>
      </c>
      <c r="F402" s="48">
        <v>34130</v>
      </c>
      <c r="G402" s="56">
        <f t="shared" si="12"/>
        <v>0.95531790213888079</v>
      </c>
      <c r="H402" s="47" t="s">
        <v>49</v>
      </c>
      <c r="I402" s="47">
        <v>2023</v>
      </c>
    </row>
    <row r="403" spans="1:9" x14ac:dyDescent="0.2">
      <c r="A403" s="47" t="str">
        <f t="shared" si="11"/>
        <v>242Octubre2023</v>
      </c>
      <c r="B403" s="47">
        <v>3</v>
      </c>
      <c r="C403" s="47">
        <v>242</v>
      </c>
      <c r="D403" s="47" t="s">
        <v>7</v>
      </c>
      <c r="E403" s="48">
        <v>32665</v>
      </c>
      <c r="F403" s="48">
        <v>33866</v>
      </c>
      <c r="G403" s="56">
        <f t="shared" si="12"/>
        <v>0.96453670347841491</v>
      </c>
      <c r="H403" s="47" t="s">
        <v>49</v>
      </c>
      <c r="I403" s="47">
        <v>2023</v>
      </c>
    </row>
    <row r="404" spans="1:9" x14ac:dyDescent="0.2">
      <c r="A404" s="47" t="str">
        <f t="shared" si="11"/>
        <v>246Octubre2023</v>
      </c>
      <c r="B404" s="47">
        <v>4</v>
      </c>
      <c r="C404" s="47">
        <v>246</v>
      </c>
      <c r="D404" s="47" t="s">
        <v>9</v>
      </c>
      <c r="E404" s="48">
        <v>24901</v>
      </c>
      <c r="F404" s="48">
        <v>26100</v>
      </c>
      <c r="G404" s="56">
        <f t="shared" si="12"/>
        <v>0.9540613026819923</v>
      </c>
      <c r="H404" s="47" t="s">
        <v>49</v>
      </c>
      <c r="I404" s="47">
        <v>2023</v>
      </c>
    </row>
    <row r="405" spans="1:9" x14ac:dyDescent="0.2">
      <c r="A405" s="47" t="str">
        <f t="shared" si="11"/>
        <v>11799Octubre2023</v>
      </c>
      <c r="B405" s="47">
        <v>5</v>
      </c>
      <c r="C405" s="47">
        <v>11799</v>
      </c>
      <c r="D405" s="47" t="s">
        <v>21</v>
      </c>
      <c r="E405" s="48">
        <v>14377</v>
      </c>
      <c r="F405" s="48">
        <v>15294</v>
      </c>
      <c r="G405" s="56">
        <f t="shared" si="12"/>
        <v>0.94004184647574207</v>
      </c>
      <c r="H405" s="47" t="s">
        <v>49</v>
      </c>
      <c r="I405" s="47">
        <v>2023</v>
      </c>
    </row>
    <row r="406" spans="1:9" x14ac:dyDescent="0.2">
      <c r="A406" s="47" t="str">
        <f t="shared" si="11"/>
        <v>1557Octubre2023</v>
      </c>
      <c r="B406" s="47">
        <v>6</v>
      </c>
      <c r="C406" s="47">
        <v>1557</v>
      </c>
      <c r="D406" s="47" t="s">
        <v>12</v>
      </c>
      <c r="E406" s="48">
        <v>9672</v>
      </c>
      <c r="F406" s="48">
        <v>10388</v>
      </c>
      <c r="G406" s="56">
        <f t="shared" si="12"/>
        <v>0.93107431651906047</v>
      </c>
      <c r="H406" s="47" t="s">
        <v>49</v>
      </c>
      <c r="I406" s="47">
        <v>2023</v>
      </c>
    </row>
    <row r="407" spans="1:9" x14ac:dyDescent="0.2">
      <c r="A407" s="47" t="str">
        <f t="shared" si="11"/>
        <v>10951Octubre2023</v>
      </c>
      <c r="B407" s="47">
        <v>7</v>
      </c>
      <c r="C407" s="47">
        <v>10951</v>
      </c>
      <c r="D407" s="47" t="s">
        <v>24</v>
      </c>
      <c r="E407" s="48">
        <v>13775</v>
      </c>
      <c r="F407" s="48">
        <v>15025</v>
      </c>
      <c r="G407" s="56">
        <f t="shared" si="12"/>
        <v>0.91680532445923457</v>
      </c>
      <c r="H407" s="47" t="s">
        <v>49</v>
      </c>
      <c r="I407" s="47">
        <v>2023</v>
      </c>
    </row>
    <row r="408" spans="1:9" x14ac:dyDescent="0.2">
      <c r="A408" s="47" t="str">
        <f t="shared" si="11"/>
        <v>11882Octubre2023</v>
      </c>
      <c r="B408" s="47">
        <v>8</v>
      </c>
      <c r="C408" s="47">
        <v>11882</v>
      </c>
      <c r="D408" s="47" t="s">
        <v>22</v>
      </c>
      <c r="E408" s="48">
        <v>9597</v>
      </c>
      <c r="F408" s="48">
        <v>10488</v>
      </c>
      <c r="G408" s="56">
        <f t="shared" si="12"/>
        <v>0.91504576659038905</v>
      </c>
      <c r="H408" s="47" t="s">
        <v>49</v>
      </c>
      <c r="I408" s="47">
        <v>2023</v>
      </c>
    </row>
    <row r="409" spans="1:9" x14ac:dyDescent="0.2">
      <c r="A409" s="47" t="str">
        <f t="shared" si="11"/>
        <v>234Octubre2023</v>
      </c>
      <c r="B409" s="47">
        <v>9</v>
      </c>
      <c r="C409" s="47">
        <v>234</v>
      </c>
      <c r="D409" s="47" t="s">
        <v>18</v>
      </c>
      <c r="E409" s="48">
        <v>33258</v>
      </c>
      <c r="F409" s="48">
        <v>35994</v>
      </c>
      <c r="G409" s="56">
        <f t="shared" si="12"/>
        <v>0.92398733122187027</v>
      </c>
      <c r="H409" s="47" t="s">
        <v>49</v>
      </c>
      <c r="I409" s="47">
        <v>2023</v>
      </c>
    </row>
    <row r="410" spans="1:9" x14ac:dyDescent="0.2">
      <c r="A410" s="47" t="str">
        <f t="shared" si="11"/>
        <v>241Octubre2023</v>
      </c>
      <c r="B410" s="47">
        <v>10</v>
      </c>
      <c r="C410" s="47">
        <v>241</v>
      </c>
      <c r="D410" s="47" t="s">
        <v>30</v>
      </c>
      <c r="E410" s="48">
        <v>19776</v>
      </c>
      <c r="F410" s="48">
        <v>21779</v>
      </c>
      <c r="G410" s="56">
        <f t="shared" si="12"/>
        <v>0.90803067174801411</v>
      </c>
      <c r="H410" s="47" t="s">
        <v>49</v>
      </c>
      <c r="I410" s="47">
        <v>2023</v>
      </c>
    </row>
    <row r="411" spans="1:9" x14ac:dyDescent="0.2">
      <c r="A411" s="47" t="str">
        <f t="shared" si="11"/>
        <v>11116Octubre2023</v>
      </c>
      <c r="B411" s="47">
        <v>11</v>
      </c>
      <c r="C411" s="47">
        <v>11116</v>
      </c>
      <c r="D411" s="47" t="s">
        <v>28</v>
      </c>
      <c r="E411" s="48">
        <v>73055</v>
      </c>
      <c r="F411" s="48">
        <v>81255</v>
      </c>
      <c r="G411" s="56">
        <f t="shared" si="12"/>
        <v>0.89908313334564027</v>
      </c>
      <c r="H411" s="47" t="s">
        <v>49</v>
      </c>
      <c r="I411" s="47">
        <v>2023</v>
      </c>
    </row>
    <row r="412" spans="1:9" x14ac:dyDescent="0.2">
      <c r="A412" s="47" t="str">
        <f t="shared" si="11"/>
        <v>11931Octubre2023</v>
      </c>
      <c r="B412" s="47">
        <v>12</v>
      </c>
      <c r="C412" s="47">
        <v>11931</v>
      </c>
      <c r="D412" s="47" t="s">
        <v>26</v>
      </c>
      <c r="E412" s="48">
        <v>18997</v>
      </c>
      <c r="F412" s="48">
        <v>21203</v>
      </c>
      <c r="G412" s="56">
        <f t="shared" si="12"/>
        <v>0.89595811913408485</v>
      </c>
      <c r="H412" s="47" t="s">
        <v>49</v>
      </c>
      <c r="I412" s="47">
        <v>2023</v>
      </c>
    </row>
    <row r="413" spans="1:9" x14ac:dyDescent="0.2">
      <c r="A413" s="47" t="str">
        <f t="shared" si="11"/>
        <v>28745Octubre2023</v>
      </c>
      <c r="B413" s="47">
        <v>13</v>
      </c>
      <c r="C413" s="47">
        <v>28745</v>
      </c>
      <c r="D413" s="47" t="s">
        <v>6</v>
      </c>
      <c r="E413" s="48">
        <v>2952</v>
      </c>
      <c r="F413" s="48">
        <v>3440</v>
      </c>
      <c r="G413" s="56">
        <f t="shared" si="12"/>
        <v>0.85813953488372097</v>
      </c>
      <c r="H413" s="47" t="s">
        <v>49</v>
      </c>
      <c r="I413" s="47">
        <v>2023</v>
      </c>
    </row>
    <row r="414" spans="1:9" x14ac:dyDescent="0.2">
      <c r="A414" s="47" t="str">
        <f t="shared" si="11"/>
        <v>10904Octubre2023</v>
      </c>
      <c r="B414" s="47">
        <v>14</v>
      </c>
      <c r="C414" s="47">
        <v>10904</v>
      </c>
      <c r="D414" s="47" t="s">
        <v>29</v>
      </c>
      <c r="E414" s="48">
        <v>11150</v>
      </c>
      <c r="F414" s="48">
        <v>13053</v>
      </c>
      <c r="G414" s="56">
        <f t="shared" si="12"/>
        <v>0.85420976020838124</v>
      </c>
      <c r="H414" s="47" t="s">
        <v>49</v>
      </c>
      <c r="I414" s="47">
        <v>2023</v>
      </c>
    </row>
    <row r="415" spans="1:9" x14ac:dyDescent="0.2">
      <c r="A415" s="47" t="str">
        <f t="shared" si="11"/>
        <v>233Octubre2023</v>
      </c>
      <c r="B415" s="47">
        <v>15</v>
      </c>
      <c r="C415" s="47">
        <v>233</v>
      </c>
      <c r="D415" s="47" t="s">
        <v>27</v>
      </c>
      <c r="E415" s="48">
        <v>62331</v>
      </c>
      <c r="F415" s="48">
        <v>74087</v>
      </c>
      <c r="G415" s="56">
        <f t="shared" si="12"/>
        <v>0.84132168936520579</v>
      </c>
      <c r="H415" s="47" t="s">
        <v>49</v>
      </c>
      <c r="I415" s="47">
        <v>2023</v>
      </c>
    </row>
    <row r="416" spans="1:9" x14ac:dyDescent="0.2">
      <c r="A416" s="47" t="str">
        <f t="shared" si="11"/>
        <v>240Octubre2023</v>
      </c>
      <c r="B416" s="47">
        <v>16</v>
      </c>
      <c r="C416" s="47">
        <v>240</v>
      </c>
      <c r="D416" s="47" t="s">
        <v>23</v>
      </c>
      <c r="E416" s="48">
        <v>18632</v>
      </c>
      <c r="F416" s="48">
        <v>24184</v>
      </c>
      <c r="G416" s="56">
        <f t="shared" si="12"/>
        <v>0.77042672841548132</v>
      </c>
      <c r="H416" s="47" t="s">
        <v>49</v>
      </c>
      <c r="I416" s="47">
        <v>2023</v>
      </c>
    </row>
    <row r="417" spans="1:9" x14ac:dyDescent="0.2">
      <c r="A417" s="47" t="str">
        <f t="shared" si="11"/>
        <v>243Octubre2023</v>
      </c>
      <c r="B417" s="47">
        <v>17</v>
      </c>
      <c r="C417" s="47">
        <v>243</v>
      </c>
      <c r="D417" s="47" t="s">
        <v>34</v>
      </c>
      <c r="E417" s="48">
        <v>24673</v>
      </c>
      <c r="F417" s="48">
        <v>32371</v>
      </c>
      <c r="G417" s="56">
        <f t="shared" si="12"/>
        <v>0.76219455685644555</v>
      </c>
      <c r="H417" s="47" t="s">
        <v>49</v>
      </c>
      <c r="I417" s="47">
        <v>2023</v>
      </c>
    </row>
    <row r="418" spans="1:9" x14ac:dyDescent="0.2">
      <c r="A418" s="47" t="str">
        <f t="shared" ref="A418:A481" si="13">C418&amp;H418&amp;I418</f>
        <v>239Octubre2023</v>
      </c>
      <c r="B418" s="47">
        <v>18</v>
      </c>
      <c r="C418" s="47">
        <v>239</v>
      </c>
      <c r="D418" s="47" t="s">
        <v>32</v>
      </c>
      <c r="E418" s="48">
        <v>22962</v>
      </c>
      <c r="F418" s="48">
        <v>31463</v>
      </c>
      <c r="G418" s="56">
        <f t="shared" si="12"/>
        <v>0.72980961764612406</v>
      </c>
      <c r="H418" s="47" t="s">
        <v>49</v>
      </c>
      <c r="I418" s="47">
        <v>2023</v>
      </c>
    </row>
    <row r="419" spans="1:9" x14ac:dyDescent="0.2">
      <c r="A419" s="47" t="str">
        <f t="shared" si="13"/>
        <v>237Octubre2023</v>
      </c>
      <c r="B419" s="47">
        <v>19</v>
      </c>
      <c r="C419" s="47">
        <v>237</v>
      </c>
      <c r="D419" s="47" t="s">
        <v>31</v>
      </c>
      <c r="E419" s="48">
        <v>30825</v>
      </c>
      <c r="F419" s="48">
        <v>43088</v>
      </c>
      <c r="G419" s="56">
        <f t="shared" si="12"/>
        <v>0.71539639806906796</v>
      </c>
      <c r="H419" s="47" t="s">
        <v>49</v>
      </c>
      <c r="I419" s="47">
        <v>2023</v>
      </c>
    </row>
    <row r="420" spans="1:9" x14ac:dyDescent="0.2">
      <c r="A420" s="47" t="str">
        <f t="shared" si="13"/>
        <v>235Octubre2023</v>
      </c>
      <c r="B420" s="47">
        <v>20</v>
      </c>
      <c r="C420" s="47">
        <v>235</v>
      </c>
      <c r="D420" s="47" t="s">
        <v>33</v>
      </c>
      <c r="E420" s="48">
        <v>22400</v>
      </c>
      <c r="F420" s="48">
        <v>34426</v>
      </c>
      <c r="G420" s="56">
        <f t="shared" si="12"/>
        <v>0.65067100447336312</v>
      </c>
      <c r="H420" s="47" t="s">
        <v>49</v>
      </c>
      <c r="I420" s="47">
        <v>2023</v>
      </c>
    </row>
    <row r="421" spans="1:9" x14ac:dyDescent="0.2">
      <c r="A421" s="47" t="str">
        <f t="shared" si="13"/>
        <v>238Octubre2023</v>
      </c>
      <c r="B421" s="47">
        <v>21</v>
      </c>
      <c r="C421" s="47">
        <v>238</v>
      </c>
      <c r="D421" s="47" t="s">
        <v>35</v>
      </c>
      <c r="E421" s="48">
        <v>11495</v>
      </c>
      <c r="F421" s="48">
        <v>18397</v>
      </c>
      <c r="G421" s="56">
        <f t="shared" si="12"/>
        <v>0.62483013534815457</v>
      </c>
      <c r="H421" s="47" t="s">
        <v>49</v>
      </c>
      <c r="I421" s="47">
        <v>2023</v>
      </c>
    </row>
    <row r="422" spans="1:9" x14ac:dyDescent="0.2">
      <c r="A422" s="47" t="str">
        <f t="shared" si="13"/>
        <v>11117Noviembre2023</v>
      </c>
      <c r="B422" s="47">
        <v>1</v>
      </c>
      <c r="C422" s="47">
        <v>11117</v>
      </c>
      <c r="D422" s="47" t="s">
        <v>15</v>
      </c>
      <c r="E422" s="48">
        <v>90400</v>
      </c>
      <c r="F422" s="48">
        <v>93921</v>
      </c>
      <c r="G422" s="56">
        <f t="shared" si="12"/>
        <v>0.96251104651781816</v>
      </c>
      <c r="H422" s="47" t="s">
        <v>50</v>
      </c>
      <c r="I422" s="47">
        <v>2023</v>
      </c>
    </row>
    <row r="423" spans="1:9" x14ac:dyDescent="0.2">
      <c r="A423" s="47" t="str">
        <f t="shared" si="13"/>
        <v>246Noviembre2023</v>
      </c>
      <c r="B423" s="47">
        <v>2</v>
      </c>
      <c r="C423" s="47">
        <v>246</v>
      </c>
      <c r="D423" s="47" t="s">
        <v>9</v>
      </c>
      <c r="E423" s="48">
        <v>28725</v>
      </c>
      <c r="F423" s="48">
        <v>29939</v>
      </c>
      <c r="G423" s="56">
        <f t="shared" si="12"/>
        <v>0.95945088346304153</v>
      </c>
      <c r="H423" s="47" t="s">
        <v>50</v>
      </c>
      <c r="I423" s="47">
        <v>2023</v>
      </c>
    </row>
    <row r="424" spans="1:9" x14ac:dyDescent="0.2">
      <c r="A424" s="47" t="str">
        <f t="shared" si="13"/>
        <v>11799Noviembre2023</v>
      </c>
      <c r="B424" s="47">
        <v>3</v>
      </c>
      <c r="C424" s="47">
        <v>11799</v>
      </c>
      <c r="D424" s="47" t="s">
        <v>21</v>
      </c>
      <c r="E424" s="48">
        <v>16346</v>
      </c>
      <c r="F424" s="48">
        <v>17264</v>
      </c>
      <c r="G424" s="56">
        <f t="shared" ref="G424:G443" si="14">E424/F424</f>
        <v>0.94682576459684897</v>
      </c>
      <c r="H424" s="47" t="s">
        <v>50</v>
      </c>
      <c r="I424" s="47">
        <v>2023</v>
      </c>
    </row>
    <row r="425" spans="1:9" x14ac:dyDescent="0.2">
      <c r="A425" s="47" t="str">
        <f t="shared" si="13"/>
        <v>242Noviembre2023</v>
      </c>
      <c r="B425" s="47">
        <v>4</v>
      </c>
      <c r="C425" s="47">
        <v>242</v>
      </c>
      <c r="D425" s="47" t="s">
        <v>7</v>
      </c>
      <c r="E425" s="48">
        <v>36114</v>
      </c>
      <c r="F425" s="48">
        <v>37937</v>
      </c>
      <c r="G425" s="56">
        <f t="shared" si="14"/>
        <v>0.95194664839075305</v>
      </c>
      <c r="H425" s="47" t="s">
        <v>50</v>
      </c>
      <c r="I425" s="47">
        <v>2023</v>
      </c>
    </row>
    <row r="426" spans="1:9" x14ac:dyDescent="0.2">
      <c r="A426" s="47" t="str">
        <f t="shared" si="13"/>
        <v>236Noviembre2023</v>
      </c>
      <c r="B426" s="47">
        <v>5</v>
      </c>
      <c r="C426" s="47">
        <v>236</v>
      </c>
      <c r="D426" s="47" t="s">
        <v>25</v>
      </c>
      <c r="E426" s="48">
        <v>36628</v>
      </c>
      <c r="F426" s="48">
        <v>38806</v>
      </c>
      <c r="G426" s="56">
        <f t="shared" si="14"/>
        <v>0.94387465855795494</v>
      </c>
      <c r="H426" s="47" t="s">
        <v>50</v>
      </c>
      <c r="I426" s="47">
        <v>2023</v>
      </c>
    </row>
    <row r="427" spans="1:9" x14ac:dyDescent="0.2">
      <c r="A427" s="47" t="str">
        <f t="shared" si="13"/>
        <v>1557Noviembre2023</v>
      </c>
      <c r="B427" s="47">
        <v>6</v>
      </c>
      <c r="C427" s="47">
        <v>1557</v>
      </c>
      <c r="D427" s="47" t="s">
        <v>12</v>
      </c>
      <c r="E427" s="48">
        <v>11166</v>
      </c>
      <c r="F427" s="48">
        <v>12017</v>
      </c>
      <c r="G427" s="56">
        <f t="shared" si="14"/>
        <v>0.92918365648664392</v>
      </c>
      <c r="H427" s="47" t="s">
        <v>50</v>
      </c>
      <c r="I427" s="47">
        <v>2023</v>
      </c>
    </row>
    <row r="428" spans="1:9" x14ac:dyDescent="0.2">
      <c r="A428" s="47" t="str">
        <f t="shared" si="13"/>
        <v>234Noviembre2023</v>
      </c>
      <c r="B428" s="47">
        <v>7</v>
      </c>
      <c r="C428" s="47">
        <v>234</v>
      </c>
      <c r="D428" s="47" t="s">
        <v>18</v>
      </c>
      <c r="E428" s="48">
        <v>37791</v>
      </c>
      <c r="F428" s="48">
        <v>40771</v>
      </c>
      <c r="G428" s="56">
        <f t="shared" si="14"/>
        <v>0.92690883225822274</v>
      </c>
      <c r="H428" s="47" t="s">
        <v>50</v>
      </c>
      <c r="I428" s="47">
        <v>2023</v>
      </c>
    </row>
    <row r="429" spans="1:9" x14ac:dyDescent="0.2">
      <c r="A429" s="47" t="str">
        <f t="shared" si="13"/>
        <v>11882Noviembre2023</v>
      </c>
      <c r="B429" s="47">
        <v>8</v>
      </c>
      <c r="C429" s="47">
        <v>11882</v>
      </c>
      <c r="D429" s="47" t="s">
        <v>22</v>
      </c>
      <c r="E429" s="48">
        <v>10625</v>
      </c>
      <c r="F429" s="48">
        <v>11593</v>
      </c>
      <c r="G429" s="56">
        <f t="shared" si="14"/>
        <v>0.91650133701371517</v>
      </c>
      <c r="H429" s="47" t="s">
        <v>50</v>
      </c>
      <c r="I429" s="47">
        <v>2023</v>
      </c>
    </row>
    <row r="430" spans="1:9" x14ac:dyDescent="0.2">
      <c r="A430" s="47" t="str">
        <f t="shared" si="13"/>
        <v>10951Noviembre2023</v>
      </c>
      <c r="B430" s="47">
        <v>9</v>
      </c>
      <c r="C430" s="47">
        <v>10951</v>
      </c>
      <c r="D430" s="47" t="s">
        <v>24</v>
      </c>
      <c r="E430" s="48">
        <v>15231</v>
      </c>
      <c r="F430" s="48">
        <v>16771</v>
      </c>
      <c r="G430" s="56">
        <f t="shared" si="14"/>
        <v>0.90817482559179541</v>
      </c>
      <c r="H430" s="47" t="s">
        <v>50</v>
      </c>
      <c r="I430" s="47">
        <v>2023</v>
      </c>
    </row>
    <row r="431" spans="1:9" x14ac:dyDescent="0.2">
      <c r="A431" s="47" t="str">
        <f t="shared" si="13"/>
        <v>241Noviembre2023</v>
      </c>
      <c r="B431" s="47">
        <v>10</v>
      </c>
      <c r="C431" s="47">
        <v>241</v>
      </c>
      <c r="D431" s="47" t="s">
        <v>30</v>
      </c>
      <c r="E431" s="48">
        <v>22057</v>
      </c>
      <c r="F431" s="48">
        <v>24473</v>
      </c>
      <c r="G431" s="56">
        <f t="shared" si="14"/>
        <v>0.90127896048706735</v>
      </c>
      <c r="H431" s="47" t="s">
        <v>50</v>
      </c>
      <c r="I431" s="47">
        <v>2023</v>
      </c>
    </row>
    <row r="432" spans="1:9" x14ac:dyDescent="0.2">
      <c r="A432" s="47" t="str">
        <f t="shared" si="13"/>
        <v>11116Noviembre2023</v>
      </c>
      <c r="B432" s="47">
        <v>11</v>
      </c>
      <c r="C432" s="47">
        <v>11116</v>
      </c>
      <c r="D432" s="47" t="s">
        <v>28</v>
      </c>
      <c r="E432" s="48">
        <v>83142</v>
      </c>
      <c r="F432" s="48">
        <v>92946</v>
      </c>
      <c r="G432" s="56">
        <f t="shared" si="14"/>
        <v>0.89451939836033822</v>
      </c>
      <c r="H432" s="47" t="s">
        <v>50</v>
      </c>
      <c r="I432" s="47">
        <v>2023</v>
      </c>
    </row>
    <row r="433" spans="1:9" x14ac:dyDescent="0.2">
      <c r="A433" s="47" t="str">
        <f t="shared" si="13"/>
        <v>11931Noviembre2023</v>
      </c>
      <c r="B433" s="47">
        <v>12</v>
      </c>
      <c r="C433" s="47">
        <v>11931</v>
      </c>
      <c r="D433" s="47" t="s">
        <v>26</v>
      </c>
      <c r="E433" s="48">
        <v>22277</v>
      </c>
      <c r="F433" s="48">
        <v>24903</v>
      </c>
      <c r="G433" s="56">
        <f t="shared" si="14"/>
        <v>0.89455085732642659</v>
      </c>
      <c r="H433" s="47" t="s">
        <v>50</v>
      </c>
      <c r="I433" s="47">
        <v>2023</v>
      </c>
    </row>
    <row r="434" spans="1:9" x14ac:dyDescent="0.2">
      <c r="A434" s="47" t="str">
        <f t="shared" si="13"/>
        <v>28745Noviembre2023</v>
      </c>
      <c r="B434" s="47">
        <v>13</v>
      </c>
      <c r="C434" s="47">
        <v>28745</v>
      </c>
      <c r="D434" s="47" t="s">
        <v>6</v>
      </c>
      <c r="E434" s="48">
        <v>3452</v>
      </c>
      <c r="F434" s="48">
        <v>3940</v>
      </c>
      <c r="G434" s="56">
        <f t="shared" si="14"/>
        <v>0.87614213197969548</v>
      </c>
      <c r="H434" s="47" t="s">
        <v>50</v>
      </c>
      <c r="I434" s="47">
        <v>2023</v>
      </c>
    </row>
    <row r="435" spans="1:9" x14ac:dyDescent="0.2">
      <c r="A435" s="47" t="str">
        <f t="shared" si="13"/>
        <v>10904Noviembre2023</v>
      </c>
      <c r="B435" s="47">
        <v>14</v>
      </c>
      <c r="C435" s="47">
        <v>10904</v>
      </c>
      <c r="D435" s="47" t="s">
        <v>29</v>
      </c>
      <c r="E435" s="48">
        <v>12652</v>
      </c>
      <c r="F435" s="48">
        <v>14815</v>
      </c>
      <c r="G435" s="56">
        <f t="shared" si="14"/>
        <v>0.85399932500843745</v>
      </c>
      <c r="H435" s="47" t="s">
        <v>50</v>
      </c>
      <c r="I435" s="47">
        <v>2023</v>
      </c>
    </row>
    <row r="436" spans="1:9" x14ac:dyDescent="0.2">
      <c r="A436" s="47" t="str">
        <f t="shared" si="13"/>
        <v>233Noviembre2023</v>
      </c>
      <c r="B436" s="47">
        <v>15</v>
      </c>
      <c r="C436" s="47">
        <v>233</v>
      </c>
      <c r="D436" s="47" t="s">
        <v>27</v>
      </c>
      <c r="E436" s="48">
        <v>71419</v>
      </c>
      <c r="F436" s="48">
        <v>84518</v>
      </c>
      <c r="G436" s="56">
        <f t="shared" si="14"/>
        <v>0.84501526302089491</v>
      </c>
      <c r="H436" s="47" t="s">
        <v>50</v>
      </c>
      <c r="I436" s="47">
        <v>2023</v>
      </c>
    </row>
    <row r="437" spans="1:9" x14ac:dyDescent="0.2">
      <c r="A437" s="47" t="str">
        <f t="shared" si="13"/>
        <v>240Noviembre2023</v>
      </c>
      <c r="B437" s="47">
        <v>16</v>
      </c>
      <c r="C437" s="47">
        <v>240</v>
      </c>
      <c r="D437" s="47" t="s">
        <v>23</v>
      </c>
      <c r="E437" s="48">
        <v>20474</v>
      </c>
      <c r="F437" s="48">
        <v>26766</v>
      </c>
      <c r="G437" s="56">
        <f t="shared" si="14"/>
        <v>0.76492565194649931</v>
      </c>
      <c r="H437" s="47" t="s">
        <v>50</v>
      </c>
      <c r="I437" s="47">
        <v>2023</v>
      </c>
    </row>
    <row r="438" spans="1:9" x14ac:dyDescent="0.2">
      <c r="A438" s="47" t="str">
        <f t="shared" si="13"/>
        <v>239Noviembre2023</v>
      </c>
      <c r="B438" s="47">
        <v>17</v>
      </c>
      <c r="C438" s="47">
        <v>239</v>
      </c>
      <c r="D438" s="47" t="s">
        <v>32</v>
      </c>
      <c r="E438" s="48">
        <v>26351</v>
      </c>
      <c r="F438" s="48">
        <v>35149</v>
      </c>
      <c r="G438" s="56">
        <f t="shared" si="14"/>
        <v>0.74969415915104265</v>
      </c>
      <c r="H438" s="47" t="s">
        <v>50</v>
      </c>
      <c r="I438" s="47">
        <v>2023</v>
      </c>
    </row>
    <row r="439" spans="1:9" x14ac:dyDescent="0.2">
      <c r="A439" s="47" t="str">
        <f t="shared" si="13"/>
        <v>243Noviembre2023</v>
      </c>
      <c r="B439" s="47">
        <v>18</v>
      </c>
      <c r="C439" s="47">
        <v>243</v>
      </c>
      <c r="D439" s="47" t="s">
        <v>34</v>
      </c>
      <c r="E439" s="48">
        <v>27686</v>
      </c>
      <c r="F439" s="48">
        <v>36978</v>
      </c>
      <c r="G439" s="56">
        <f t="shared" si="14"/>
        <v>0.74871545243117532</v>
      </c>
      <c r="H439" s="47" t="s">
        <v>50</v>
      </c>
      <c r="I439" s="47">
        <v>2023</v>
      </c>
    </row>
    <row r="440" spans="1:9" x14ac:dyDescent="0.2">
      <c r="A440" s="47" t="str">
        <f t="shared" si="13"/>
        <v>237Noviembre2023</v>
      </c>
      <c r="B440" s="47">
        <v>19</v>
      </c>
      <c r="C440" s="47">
        <v>237</v>
      </c>
      <c r="D440" s="47" t="s">
        <v>31</v>
      </c>
      <c r="E440" s="48">
        <v>36739</v>
      </c>
      <c r="F440" s="48">
        <v>50007</v>
      </c>
      <c r="G440" s="56">
        <f t="shared" si="14"/>
        <v>0.73467714519967209</v>
      </c>
      <c r="H440" s="47" t="s">
        <v>50</v>
      </c>
      <c r="I440" s="47">
        <v>2023</v>
      </c>
    </row>
    <row r="441" spans="1:9" x14ac:dyDescent="0.2">
      <c r="A441" s="47" t="str">
        <f t="shared" si="13"/>
        <v>235Noviembre2023</v>
      </c>
      <c r="B441" s="47">
        <v>20</v>
      </c>
      <c r="C441" s="47">
        <v>235</v>
      </c>
      <c r="D441" s="47" t="s">
        <v>33</v>
      </c>
      <c r="E441" s="48">
        <v>26855</v>
      </c>
      <c r="F441" s="48">
        <v>38885</v>
      </c>
      <c r="G441" s="56">
        <f t="shared" si="14"/>
        <v>0.6906262054776906</v>
      </c>
      <c r="H441" s="47" t="s">
        <v>50</v>
      </c>
      <c r="I441" s="47">
        <v>2023</v>
      </c>
    </row>
    <row r="442" spans="1:9" x14ac:dyDescent="0.2">
      <c r="A442" s="47" t="str">
        <f t="shared" si="13"/>
        <v>238Noviembre2023</v>
      </c>
      <c r="B442" s="47">
        <v>21</v>
      </c>
      <c r="C442" s="47">
        <v>238</v>
      </c>
      <c r="D442" s="47" t="s">
        <v>35</v>
      </c>
      <c r="E442" s="48">
        <v>13950</v>
      </c>
      <c r="F442" s="48">
        <v>21955</v>
      </c>
      <c r="G442" s="56">
        <f t="shared" si="14"/>
        <v>0.63539057162377588</v>
      </c>
      <c r="H442" s="47" t="s">
        <v>50</v>
      </c>
      <c r="I442" s="47">
        <v>2023</v>
      </c>
    </row>
    <row r="443" spans="1:9" x14ac:dyDescent="0.2">
      <c r="A443" s="47" t="str">
        <f t="shared" si="13"/>
        <v>11799Enero2024</v>
      </c>
      <c r="B443" s="47">
        <v>1</v>
      </c>
      <c r="C443" s="47">
        <v>11799</v>
      </c>
      <c r="D443" s="47" t="s">
        <v>21</v>
      </c>
      <c r="E443" s="48">
        <v>517</v>
      </c>
      <c r="F443" s="48">
        <v>517</v>
      </c>
      <c r="G443" s="56">
        <f t="shared" si="14"/>
        <v>1</v>
      </c>
      <c r="H443" s="47" t="s">
        <v>40</v>
      </c>
      <c r="I443" s="47">
        <v>2024</v>
      </c>
    </row>
    <row r="444" spans="1:9" x14ac:dyDescent="0.2">
      <c r="A444" s="47" t="str">
        <f t="shared" si="13"/>
        <v>235Enero2024</v>
      </c>
      <c r="B444" s="47">
        <v>2</v>
      </c>
      <c r="C444" s="47">
        <v>235</v>
      </c>
      <c r="D444" s="47" t="s">
        <v>33</v>
      </c>
      <c r="E444" s="48">
        <v>2490</v>
      </c>
      <c r="F444" s="48">
        <v>2490</v>
      </c>
      <c r="G444" s="56">
        <f t="shared" ref="G444:G507" si="15">E444/F444</f>
        <v>1</v>
      </c>
      <c r="H444" s="47" t="s">
        <v>40</v>
      </c>
      <c r="I444" s="47">
        <v>2024</v>
      </c>
    </row>
    <row r="445" spans="1:9" x14ac:dyDescent="0.2">
      <c r="A445" s="47" t="str">
        <f t="shared" si="13"/>
        <v>11882Enero2024</v>
      </c>
      <c r="B445" s="47">
        <v>3</v>
      </c>
      <c r="C445" s="47">
        <v>11882</v>
      </c>
      <c r="D445" s="47" t="s">
        <v>22</v>
      </c>
      <c r="E445" s="48">
        <v>905</v>
      </c>
      <c r="F445" s="48">
        <v>911</v>
      </c>
      <c r="G445" s="56">
        <f t="shared" si="15"/>
        <v>0.99341383095499447</v>
      </c>
      <c r="H445" s="47" t="s">
        <v>40</v>
      </c>
      <c r="I445" s="47">
        <v>2024</v>
      </c>
    </row>
    <row r="446" spans="1:9" x14ac:dyDescent="0.2">
      <c r="A446" s="47" t="str">
        <f t="shared" si="13"/>
        <v>1557Enero2024</v>
      </c>
      <c r="B446" s="47">
        <v>4</v>
      </c>
      <c r="C446" s="47">
        <v>1557</v>
      </c>
      <c r="D446" s="47" t="s">
        <v>12</v>
      </c>
      <c r="E446" s="48">
        <v>1561</v>
      </c>
      <c r="F446" s="48">
        <v>1593</v>
      </c>
      <c r="G446" s="56">
        <f t="shared" si="15"/>
        <v>0.97991211550533586</v>
      </c>
      <c r="H446" s="47" t="s">
        <v>40</v>
      </c>
      <c r="I446" s="47">
        <v>2024</v>
      </c>
    </row>
    <row r="447" spans="1:9" x14ac:dyDescent="0.2">
      <c r="A447" s="47" t="str">
        <f t="shared" si="13"/>
        <v>28745Enero2024</v>
      </c>
      <c r="B447" s="47">
        <v>5</v>
      </c>
      <c r="C447" s="47">
        <v>28745</v>
      </c>
      <c r="D447" s="47" t="s">
        <v>6</v>
      </c>
      <c r="E447" s="48">
        <v>254</v>
      </c>
      <c r="F447" s="48">
        <v>262</v>
      </c>
      <c r="G447" s="56">
        <f t="shared" si="15"/>
        <v>0.96946564885496178</v>
      </c>
      <c r="H447" s="47" t="s">
        <v>40</v>
      </c>
      <c r="I447" s="47">
        <v>2024</v>
      </c>
    </row>
    <row r="448" spans="1:9" x14ac:dyDescent="0.2">
      <c r="A448" s="47" t="str">
        <f t="shared" si="13"/>
        <v>11117Enero2024</v>
      </c>
      <c r="B448" s="47">
        <v>6</v>
      </c>
      <c r="C448" s="47">
        <v>11117</v>
      </c>
      <c r="D448" s="47" t="s">
        <v>15</v>
      </c>
      <c r="E448" s="48">
        <v>6683</v>
      </c>
      <c r="F448" s="48">
        <v>6975</v>
      </c>
      <c r="G448" s="56">
        <f t="shared" si="15"/>
        <v>0.95813620071684591</v>
      </c>
      <c r="H448" s="47" t="s">
        <v>40</v>
      </c>
      <c r="I448" s="47">
        <v>2024</v>
      </c>
    </row>
    <row r="449" spans="1:9" x14ac:dyDescent="0.2">
      <c r="A449" s="47" t="str">
        <f t="shared" si="13"/>
        <v>233Enero2024</v>
      </c>
      <c r="B449" s="47">
        <v>7</v>
      </c>
      <c r="C449" s="47">
        <v>233</v>
      </c>
      <c r="D449" s="47" t="s">
        <v>27</v>
      </c>
      <c r="E449" s="48">
        <v>7988</v>
      </c>
      <c r="F449" s="48">
        <v>8368</v>
      </c>
      <c r="G449" s="56">
        <f t="shared" si="15"/>
        <v>0.95458891013384317</v>
      </c>
      <c r="H449" s="47" t="s">
        <v>40</v>
      </c>
      <c r="I449" s="47">
        <v>2024</v>
      </c>
    </row>
    <row r="450" spans="1:9" x14ac:dyDescent="0.2">
      <c r="A450" s="47" t="str">
        <f t="shared" si="13"/>
        <v>234Enero2024</v>
      </c>
      <c r="B450" s="47">
        <v>8</v>
      </c>
      <c r="C450" s="47">
        <v>234</v>
      </c>
      <c r="D450" s="47" t="s">
        <v>18</v>
      </c>
      <c r="E450" s="48">
        <v>3269</v>
      </c>
      <c r="F450" s="48">
        <v>3444</v>
      </c>
      <c r="G450" s="56">
        <f t="shared" si="15"/>
        <v>0.94918699186991873</v>
      </c>
      <c r="H450" s="47" t="s">
        <v>40</v>
      </c>
      <c r="I450" s="47">
        <v>2024</v>
      </c>
    </row>
    <row r="451" spans="1:9" x14ac:dyDescent="0.2">
      <c r="A451" s="47" t="str">
        <f t="shared" si="13"/>
        <v>239Enero2024</v>
      </c>
      <c r="B451" s="47">
        <v>9</v>
      </c>
      <c r="C451" s="47">
        <v>239</v>
      </c>
      <c r="D451" s="47" t="s">
        <v>32</v>
      </c>
      <c r="E451" s="48">
        <v>3130</v>
      </c>
      <c r="F451" s="48">
        <v>3279</v>
      </c>
      <c r="G451" s="56">
        <f t="shared" si="15"/>
        <v>0.95455931686489781</v>
      </c>
      <c r="H451" s="47" t="s">
        <v>40</v>
      </c>
      <c r="I451" s="47">
        <v>2024</v>
      </c>
    </row>
    <row r="452" spans="1:9" x14ac:dyDescent="0.2">
      <c r="A452" s="47" t="str">
        <f t="shared" si="13"/>
        <v>241Enero2024</v>
      </c>
      <c r="B452" s="47">
        <v>10</v>
      </c>
      <c r="C452" s="47">
        <v>241</v>
      </c>
      <c r="D452" s="47" t="s">
        <v>30</v>
      </c>
      <c r="E452" s="48">
        <v>1762</v>
      </c>
      <c r="F452" s="48">
        <v>1887</v>
      </c>
      <c r="G452" s="56">
        <f t="shared" si="15"/>
        <v>0.93375728669846314</v>
      </c>
      <c r="H452" s="47" t="s">
        <v>40</v>
      </c>
      <c r="I452" s="47">
        <v>2024</v>
      </c>
    </row>
    <row r="453" spans="1:9" x14ac:dyDescent="0.2">
      <c r="A453" s="47" t="str">
        <f t="shared" si="13"/>
        <v>237Enero2024</v>
      </c>
      <c r="B453" s="47">
        <v>11</v>
      </c>
      <c r="C453" s="47">
        <v>237</v>
      </c>
      <c r="D453" s="47" t="s">
        <v>31</v>
      </c>
      <c r="E453" s="48">
        <v>5120</v>
      </c>
      <c r="F453" s="48">
        <v>5598</v>
      </c>
      <c r="G453" s="56">
        <f t="shared" si="15"/>
        <v>0.9146123615576992</v>
      </c>
      <c r="H453" s="47" t="s">
        <v>40</v>
      </c>
      <c r="I453" s="47">
        <v>2024</v>
      </c>
    </row>
    <row r="454" spans="1:9" x14ac:dyDescent="0.2">
      <c r="A454" s="47" t="str">
        <f t="shared" si="13"/>
        <v>11931Enero2024</v>
      </c>
      <c r="B454" s="47">
        <v>12</v>
      </c>
      <c r="C454" s="47">
        <v>11931</v>
      </c>
      <c r="D454" s="47" t="s">
        <v>39</v>
      </c>
      <c r="E454" s="48">
        <v>2247</v>
      </c>
      <c r="F454" s="48">
        <v>2501</v>
      </c>
      <c r="G454" s="56">
        <f t="shared" si="15"/>
        <v>0.89844062375049982</v>
      </c>
      <c r="H454" s="47" t="s">
        <v>40</v>
      </c>
      <c r="I454" s="47">
        <v>2024</v>
      </c>
    </row>
    <row r="455" spans="1:9" x14ac:dyDescent="0.2">
      <c r="A455" s="47" t="str">
        <f t="shared" si="13"/>
        <v>10951Enero2024</v>
      </c>
      <c r="B455" s="47">
        <v>13</v>
      </c>
      <c r="C455" s="47">
        <v>10951</v>
      </c>
      <c r="D455" s="47" t="s">
        <v>24</v>
      </c>
      <c r="E455" s="48">
        <v>1518</v>
      </c>
      <c r="F455" s="48">
        <v>1703</v>
      </c>
      <c r="G455" s="56">
        <f t="shared" si="15"/>
        <v>0.89136817381092193</v>
      </c>
      <c r="H455" s="47" t="s">
        <v>40</v>
      </c>
      <c r="I455" s="47">
        <v>2024</v>
      </c>
    </row>
    <row r="456" spans="1:9" x14ac:dyDescent="0.2">
      <c r="A456" s="47" t="str">
        <f t="shared" si="13"/>
        <v>238Enero2024</v>
      </c>
      <c r="B456" s="47">
        <v>14</v>
      </c>
      <c r="C456" s="47">
        <v>238</v>
      </c>
      <c r="D456" s="47" t="s">
        <v>35</v>
      </c>
      <c r="E456" s="48">
        <v>1594</v>
      </c>
      <c r="F456" s="48">
        <v>1796</v>
      </c>
      <c r="G456" s="56">
        <f t="shared" si="15"/>
        <v>0.88752783964365256</v>
      </c>
      <c r="H456" s="47" t="s">
        <v>40</v>
      </c>
      <c r="I456" s="47">
        <v>2024</v>
      </c>
    </row>
    <row r="457" spans="1:9" x14ac:dyDescent="0.2">
      <c r="A457" s="47" t="str">
        <f t="shared" si="13"/>
        <v>11116Enero2024</v>
      </c>
      <c r="B457" s="47">
        <v>15</v>
      </c>
      <c r="C457" s="47">
        <v>11116</v>
      </c>
      <c r="D457" s="47" t="s">
        <v>28</v>
      </c>
      <c r="E457" s="48">
        <v>7463</v>
      </c>
      <c r="F457" s="48">
        <v>8627</v>
      </c>
      <c r="G457" s="56">
        <f t="shared" si="15"/>
        <v>0.86507476527182103</v>
      </c>
      <c r="H457" s="47" t="s">
        <v>40</v>
      </c>
      <c r="I457" s="47">
        <v>2024</v>
      </c>
    </row>
    <row r="458" spans="1:9" x14ac:dyDescent="0.2">
      <c r="A458" s="47" t="str">
        <f t="shared" si="13"/>
        <v>243Enero2024</v>
      </c>
      <c r="B458" s="47">
        <v>16</v>
      </c>
      <c r="C458" s="47">
        <v>243</v>
      </c>
      <c r="D458" s="47" t="s">
        <v>34</v>
      </c>
      <c r="E458" s="48">
        <v>2492</v>
      </c>
      <c r="F458" s="48">
        <v>2879</v>
      </c>
      <c r="G458" s="56">
        <f t="shared" si="15"/>
        <v>0.8655783258075721</v>
      </c>
      <c r="H458" s="47" t="s">
        <v>40</v>
      </c>
      <c r="I458" s="47">
        <v>2024</v>
      </c>
    </row>
    <row r="459" spans="1:9" x14ac:dyDescent="0.2">
      <c r="A459" s="47" t="str">
        <f t="shared" si="13"/>
        <v>10904Enero2024</v>
      </c>
      <c r="B459" s="47">
        <v>17</v>
      </c>
      <c r="C459" s="47">
        <v>10904</v>
      </c>
      <c r="D459" s="47" t="s">
        <v>29</v>
      </c>
      <c r="E459" s="48">
        <v>909</v>
      </c>
      <c r="F459" s="48">
        <v>1053</v>
      </c>
      <c r="G459" s="56">
        <f t="shared" si="15"/>
        <v>0.86324786324786329</v>
      </c>
      <c r="H459" s="47" t="s">
        <v>40</v>
      </c>
      <c r="I459" s="47">
        <v>2024</v>
      </c>
    </row>
    <row r="460" spans="1:9" x14ac:dyDescent="0.2">
      <c r="A460" s="47" t="str">
        <f t="shared" si="13"/>
        <v>236Enero2024</v>
      </c>
      <c r="B460" s="47">
        <v>18</v>
      </c>
      <c r="C460" s="47">
        <v>236</v>
      </c>
      <c r="D460" s="47" t="s">
        <v>25</v>
      </c>
      <c r="E460" s="48">
        <v>2188</v>
      </c>
      <c r="F460" s="48">
        <v>2657</v>
      </c>
      <c r="G460" s="56">
        <f t="shared" si="15"/>
        <v>0.82348513360933384</v>
      </c>
      <c r="H460" s="47" t="s">
        <v>40</v>
      </c>
      <c r="I460" s="47">
        <v>2024</v>
      </c>
    </row>
    <row r="461" spans="1:9" x14ac:dyDescent="0.2">
      <c r="A461" s="47" t="str">
        <f t="shared" si="13"/>
        <v>242Enero2024</v>
      </c>
      <c r="B461" s="47">
        <v>19</v>
      </c>
      <c r="C461" s="47">
        <v>242</v>
      </c>
      <c r="D461" s="47" t="s">
        <v>7</v>
      </c>
      <c r="E461" s="48">
        <v>2271</v>
      </c>
      <c r="F461" s="48">
        <v>3152</v>
      </c>
      <c r="G461" s="56">
        <f t="shared" si="15"/>
        <v>0.72049492385786806</v>
      </c>
      <c r="H461" s="47" t="s">
        <v>40</v>
      </c>
      <c r="I461" s="47">
        <v>2024</v>
      </c>
    </row>
    <row r="462" spans="1:9" x14ac:dyDescent="0.2">
      <c r="A462" s="47" t="str">
        <f t="shared" si="13"/>
        <v>240Enero2024</v>
      </c>
      <c r="B462" s="47">
        <v>20</v>
      </c>
      <c r="C462" s="47">
        <v>240</v>
      </c>
      <c r="D462" s="47" t="s">
        <v>23</v>
      </c>
      <c r="E462" s="48">
        <v>724</v>
      </c>
      <c r="F462" s="48">
        <v>1473</v>
      </c>
      <c r="G462" s="56">
        <f t="shared" si="15"/>
        <v>0.49151391717583165</v>
      </c>
      <c r="H462" s="47" t="s">
        <v>40</v>
      </c>
      <c r="I462" s="47">
        <v>2024</v>
      </c>
    </row>
    <row r="463" spans="1:9" x14ac:dyDescent="0.2">
      <c r="A463" s="47" t="str">
        <f t="shared" si="13"/>
        <v>246Enero2024</v>
      </c>
      <c r="B463" s="47">
        <v>21</v>
      </c>
      <c r="C463" s="47">
        <v>246</v>
      </c>
      <c r="D463" s="47" t="s">
        <v>9</v>
      </c>
      <c r="E463" s="48">
        <v>637</v>
      </c>
      <c r="F463" s="48">
        <v>1349</v>
      </c>
      <c r="G463" s="56">
        <f t="shared" si="15"/>
        <v>0.47220163083765754</v>
      </c>
      <c r="H463" s="47" t="s">
        <v>40</v>
      </c>
      <c r="I463" s="47">
        <v>2024</v>
      </c>
    </row>
    <row r="464" spans="1:9" x14ac:dyDescent="0.2">
      <c r="A464" s="47" t="str">
        <f t="shared" si="13"/>
        <v>235Febrero2024</v>
      </c>
      <c r="B464" s="47">
        <v>1</v>
      </c>
      <c r="C464" s="47">
        <v>235</v>
      </c>
      <c r="D464" s="47" t="s">
        <v>33</v>
      </c>
      <c r="E464" s="48">
        <v>5117</v>
      </c>
      <c r="F464" s="48">
        <v>5119</v>
      </c>
      <c r="G464" s="56">
        <f t="shared" si="15"/>
        <v>0.99960929869115056</v>
      </c>
      <c r="H464" s="47" t="s">
        <v>41</v>
      </c>
      <c r="I464" s="47">
        <v>2024</v>
      </c>
    </row>
    <row r="465" spans="1:9" x14ac:dyDescent="0.2">
      <c r="A465" s="47" t="str">
        <f t="shared" si="13"/>
        <v>1557Febrero2024</v>
      </c>
      <c r="B465" s="47">
        <v>2</v>
      </c>
      <c r="C465" s="47">
        <v>1557</v>
      </c>
      <c r="D465" s="47" t="s">
        <v>12</v>
      </c>
      <c r="E465" s="48">
        <v>3304</v>
      </c>
      <c r="F465" s="48">
        <v>3354</v>
      </c>
      <c r="G465" s="56">
        <f t="shared" si="15"/>
        <v>0.98509242695289212</v>
      </c>
      <c r="H465" s="47" t="s">
        <v>41</v>
      </c>
      <c r="I465" s="47">
        <v>2024</v>
      </c>
    </row>
    <row r="466" spans="1:9" x14ac:dyDescent="0.2">
      <c r="A466" s="47" t="str">
        <f t="shared" si="13"/>
        <v>11882Febrero2024</v>
      </c>
      <c r="B466" s="47">
        <v>3</v>
      </c>
      <c r="C466" s="47">
        <v>11882</v>
      </c>
      <c r="D466" s="47" t="s">
        <v>22</v>
      </c>
      <c r="E466" s="48">
        <v>1654</v>
      </c>
      <c r="F466" s="48">
        <v>1703</v>
      </c>
      <c r="G466" s="56">
        <f t="shared" si="15"/>
        <v>0.97122724603640631</v>
      </c>
      <c r="H466" s="47" t="s">
        <v>41</v>
      </c>
      <c r="I466" s="47">
        <v>2024</v>
      </c>
    </row>
    <row r="467" spans="1:9" x14ac:dyDescent="0.2">
      <c r="A467" s="47" t="str">
        <f t="shared" si="13"/>
        <v>233Febrero2024</v>
      </c>
      <c r="B467" s="47">
        <v>4</v>
      </c>
      <c r="C467" s="47">
        <v>233</v>
      </c>
      <c r="D467" s="47" t="s">
        <v>27</v>
      </c>
      <c r="E467" s="48">
        <v>15972</v>
      </c>
      <c r="F467" s="48">
        <v>16531</v>
      </c>
      <c r="G467" s="56">
        <f t="shared" si="15"/>
        <v>0.96618474381465125</v>
      </c>
      <c r="H467" s="47" t="s">
        <v>41</v>
      </c>
      <c r="I467" s="47">
        <v>2024</v>
      </c>
    </row>
    <row r="468" spans="1:9" x14ac:dyDescent="0.2">
      <c r="A468" s="47" t="str">
        <f t="shared" si="13"/>
        <v>234Febrero2024</v>
      </c>
      <c r="B468" s="47">
        <v>5</v>
      </c>
      <c r="C468" s="47">
        <v>234</v>
      </c>
      <c r="D468" s="47" t="s">
        <v>18</v>
      </c>
      <c r="E468" s="48">
        <v>6977</v>
      </c>
      <c r="F468" s="48">
        <v>7365</v>
      </c>
      <c r="G468" s="56">
        <f t="shared" si="15"/>
        <v>0.94731839782756277</v>
      </c>
      <c r="H468" s="47" t="s">
        <v>41</v>
      </c>
      <c r="I468" s="47">
        <v>2024</v>
      </c>
    </row>
    <row r="469" spans="1:9" x14ac:dyDescent="0.2">
      <c r="A469" s="47" t="str">
        <f t="shared" si="13"/>
        <v>28745Febrero2024</v>
      </c>
      <c r="B469" s="47">
        <v>6</v>
      </c>
      <c r="C469" s="47">
        <v>28745</v>
      </c>
      <c r="D469" s="47" t="s">
        <v>6</v>
      </c>
      <c r="E469" s="48">
        <v>565</v>
      </c>
      <c r="F469" s="48">
        <v>597</v>
      </c>
      <c r="G469" s="56">
        <f t="shared" si="15"/>
        <v>0.94639865996649919</v>
      </c>
      <c r="H469" s="47" t="s">
        <v>41</v>
      </c>
      <c r="I469" s="47">
        <v>2024</v>
      </c>
    </row>
    <row r="470" spans="1:9" x14ac:dyDescent="0.2">
      <c r="A470" s="47" t="str">
        <f t="shared" si="13"/>
        <v>239Febrero2024</v>
      </c>
      <c r="B470" s="47">
        <v>7</v>
      </c>
      <c r="C470" s="47">
        <v>239</v>
      </c>
      <c r="D470" s="47" t="s">
        <v>32</v>
      </c>
      <c r="E470" s="48">
        <v>6066</v>
      </c>
      <c r="F470" s="48">
        <v>6532</v>
      </c>
      <c r="G470" s="56">
        <f t="shared" si="15"/>
        <v>0.92865890998162892</v>
      </c>
      <c r="H470" s="47" t="s">
        <v>41</v>
      </c>
      <c r="I470" s="47">
        <v>2024</v>
      </c>
    </row>
    <row r="471" spans="1:9" x14ac:dyDescent="0.2">
      <c r="A471" s="47" t="str">
        <f t="shared" si="13"/>
        <v>237Febrero2024</v>
      </c>
      <c r="B471" s="47">
        <v>8</v>
      </c>
      <c r="C471" s="47">
        <v>237</v>
      </c>
      <c r="D471" s="47" t="s">
        <v>31</v>
      </c>
      <c r="E471" s="48">
        <v>9430</v>
      </c>
      <c r="F471" s="48">
        <v>10407</v>
      </c>
      <c r="G471" s="56">
        <f t="shared" si="15"/>
        <v>0.90612088017680403</v>
      </c>
      <c r="H471" s="47" t="s">
        <v>41</v>
      </c>
      <c r="I471" s="47">
        <v>2024</v>
      </c>
    </row>
    <row r="472" spans="1:9" x14ac:dyDescent="0.2">
      <c r="A472" s="47" t="str">
        <f t="shared" si="13"/>
        <v>241Febrero2024</v>
      </c>
      <c r="B472" s="47">
        <v>9</v>
      </c>
      <c r="C472" s="47">
        <v>241</v>
      </c>
      <c r="D472" s="47" t="s">
        <v>30</v>
      </c>
      <c r="E472" s="48">
        <v>3135</v>
      </c>
      <c r="F472" s="48">
        <v>3460</v>
      </c>
      <c r="G472" s="56">
        <f t="shared" si="15"/>
        <v>0.90606936416184969</v>
      </c>
      <c r="H472" s="47" t="s">
        <v>41</v>
      </c>
      <c r="I472" s="47">
        <v>2024</v>
      </c>
    </row>
    <row r="473" spans="1:9" x14ac:dyDescent="0.2">
      <c r="A473" s="47" t="str">
        <f t="shared" si="13"/>
        <v>11931Febrero2024</v>
      </c>
      <c r="B473" s="47">
        <v>10</v>
      </c>
      <c r="C473" s="47">
        <v>11931</v>
      </c>
      <c r="D473" s="47" t="s">
        <v>39</v>
      </c>
      <c r="E473" s="48">
        <v>3808</v>
      </c>
      <c r="F473" s="48">
        <v>4239</v>
      </c>
      <c r="G473" s="56">
        <f t="shared" si="15"/>
        <v>0.89832507666902572</v>
      </c>
      <c r="H473" s="47" t="s">
        <v>41</v>
      </c>
      <c r="I473" s="47">
        <v>2024</v>
      </c>
    </row>
    <row r="474" spans="1:9" x14ac:dyDescent="0.2">
      <c r="A474" s="47" t="str">
        <f t="shared" si="13"/>
        <v>11117Febrero2024</v>
      </c>
      <c r="B474" s="47">
        <v>11</v>
      </c>
      <c r="C474" s="47">
        <v>11117</v>
      </c>
      <c r="D474" s="47" t="s">
        <v>15</v>
      </c>
      <c r="E474" s="48">
        <v>14360</v>
      </c>
      <c r="F474" s="48">
        <v>16106</v>
      </c>
      <c r="G474" s="56">
        <f t="shared" si="15"/>
        <v>0.89159319508257795</v>
      </c>
      <c r="H474" s="47" t="s">
        <v>41</v>
      </c>
      <c r="I474" s="47">
        <v>2024</v>
      </c>
    </row>
    <row r="475" spans="1:9" x14ac:dyDescent="0.2">
      <c r="A475" s="47" t="str">
        <f t="shared" si="13"/>
        <v>10904Febrero2024</v>
      </c>
      <c r="B475" s="47">
        <v>12</v>
      </c>
      <c r="C475" s="47">
        <v>10904</v>
      </c>
      <c r="D475" s="47" t="s">
        <v>29</v>
      </c>
      <c r="E475" s="48">
        <v>1899</v>
      </c>
      <c r="F475" s="48">
        <v>2151</v>
      </c>
      <c r="G475" s="56">
        <f t="shared" si="15"/>
        <v>0.88284518828451886</v>
      </c>
      <c r="H475" s="47" t="s">
        <v>41</v>
      </c>
      <c r="I475" s="47">
        <v>2024</v>
      </c>
    </row>
    <row r="476" spans="1:9" x14ac:dyDescent="0.2">
      <c r="A476" s="47" t="str">
        <f t="shared" si="13"/>
        <v>11116Febrero2024</v>
      </c>
      <c r="B476" s="47">
        <v>13</v>
      </c>
      <c r="C476" s="47">
        <v>11116</v>
      </c>
      <c r="D476" s="47" t="s">
        <v>28</v>
      </c>
      <c r="E476" s="48">
        <v>13786</v>
      </c>
      <c r="F476" s="48">
        <v>15708</v>
      </c>
      <c r="G476" s="56">
        <f t="shared" si="15"/>
        <v>0.87764196587725996</v>
      </c>
      <c r="H476" s="47" t="s">
        <v>41</v>
      </c>
      <c r="I476" s="47">
        <v>2024</v>
      </c>
    </row>
    <row r="477" spans="1:9" x14ac:dyDescent="0.2">
      <c r="A477" s="47" t="str">
        <f t="shared" si="13"/>
        <v>238Febrero2024</v>
      </c>
      <c r="B477" s="47">
        <v>14</v>
      </c>
      <c r="C477" s="47">
        <v>238</v>
      </c>
      <c r="D477" s="47" t="s">
        <v>35</v>
      </c>
      <c r="E477" s="48">
        <v>2928</v>
      </c>
      <c r="F477" s="48">
        <v>3339</v>
      </c>
      <c r="G477" s="56">
        <f t="shared" si="15"/>
        <v>0.8769092542677448</v>
      </c>
      <c r="H477" s="47" t="s">
        <v>41</v>
      </c>
      <c r="I477" s="47">
        <v>2024</v>
      </c>
    </row>
    <row r="478" spans="1:9" x14ac:dyDescent="0.2">
      <c r="A478" s="47" t="str">
        <f t="shared" si="13"/>
        <v>243Febrero2024</v>
      </c>
      <c r="B478" s="47">
        <v>15</v>
      </c>
      <c r="C478" s="47">
        <v>243</v>
      </c>
      <c r="D478" s="47" t="s">
        <v>34</v>
      </c>
      <c r="E478" s="48">
        <v>5222</v>
      </c>
      <c r="F478" s="48">
        <v>6079</v>
      </c>
      <c r="G478" s="56">
        <f t="shared" si="15"/>
        <v>0.8590228656028952</v>
      </c>
      <c r="H478" s="47" t="s">
        <v>41</v>
      </c>
      <c r="I478" s="47">
        <v>2024</v>
      </c>
    </row>
    <row r="479" spans="1:9" x14ac:dyDescent="0.2">
      <c r="A479" s="47" t="str">
        <f t="shared" si="13"/>
        <v>236Febrero2024</v>
      </c>
      <c r="B479" s="47">
        <v>16</v>
      </c>
      <c r="C479" s="47">
        <v>236</v>
      </c>
      <c r="D479" s="47" t="s">
        <v>25</v>
      </c>
      <c r="E479" s="48">
        <v>4097</v>
      </c>
      <c r="F479" s="48">
        <v>4811</v>
      </c>
      <c r="G479" s="56">
        <f t="shared" si="15"/>
        <v>0.85159010600706708</v>
      </c>
      <c r="H479" s="47" t="s">
        <v>41</v>
      </c>
      <c r="I479" s="47">
        <v>2024</v>
      </c>
    </row>
    <row r="480" spans="1:9" x14ac:dyDescent="0.2">
      <c r="A480" s="47" t="str">
        <f t="shared" si="13"/>
        <v>246Febrero2024</v>
      </c>
      <c r="B480" s="47">
        <v>17</v>
      </c>
      <c r="C480" s="47">
        <v>246</v>
      </c>
      <c r="D480" s="47" t="s">
        <v>9</v>
      </c>
      <c r="E480" s="48">
        <v>3643</v>
      </c>
      <c r="F480" s="48">
        <v>4361</v>
      </c>
      <c r="G480" s="56">
        <f t="shared" si="15"/>
        <v>0.83535886264618209</v>
      </c>
      <c r="H480" s="47" t="s">
        <v>41</v>
      </c>
      <c r="I480" s="47">
        <v>2024</v>
      </c>
    </row>
    <row r="481" spans="1:9" x14ac:dyDescent="0.2">
      <c r="A481" s="47" t="str">
        <f t="shared" si="13"/>
        <v>242Febrero2024</v>
      </c>
      <c r="B481" s="47">
        <v>18</v>
      </c>
      <c r="C481" s="47">
        <v>242</v>
      </c>
      <c r="D481" s="47" t="s">
        <v>7</v>
      </c>
      <c r="E481" s="48">
        <v>5471</v>
      </c>
      <c r="F481" s="48">
        <v>6611</v>
      </c>
      <c r="G481" s="56">
        <f t="shared" si="15"/>
        <v>0.82756012706095905</v>
      </c>
      <c r="H481" s="47" t="s">
        <v>41</v>
      </c>
      <c r="I481" s="47">
        <v>2024</v>
      </c>
    </row>
    <row r="482" spans="1:9" x14ac:dyDescent="0.2">
      <c r="A482" s="47" t="str">
        <f t="shared" ref="A482:A545" si="16">C482&amp;H482&amp;I482</f>
        <v>10951Febrero2024</v>
      </c>
      <c r="B482" s="47">
        <v>19</v>
      </c>
      <c r="C482" s="47">
        <v>10951</v>
      </c>
      <c r="D482" s="47" t="s">
        <v>24</v>
      </c>
      <c r="E482" s="48">
        <v>2332</v>
      </c>
      <c r="F482" s="48">
        <v>2871</v>
      </c>
      <c r="G482" s="56">
        <f t="shared" si="15"/>
        <v>0.8122605363984674</v>
      </c>
      <c r="H482" s="47" t="s">
        <v>41</v>
      </c>
      <c r="I482" s="47">
        <v>2024</v>
      </c>
    </row>
    <row r="483" spans="1:9" x14ac:dyDescent="0.2">
      <c r="A483" s="47" t="str">
        <f t="shared" si="16"/>
        <v>11799Febrero2024</v>
      </c>
      <c r="B483" s="47">
        <v>20</v>
      </c>
      <c r="C483" s="47">
        <v>11799</v>
      </c>
      <c r="D483" s="47" t="s">
        <v>21</v>
      </c>
      <c r="E483" s="48">
        <v>1990</v>
      </c>
      <c r="F483" s="48">
        <v>3037</v>
      </c>
      <c r="G483" s="56">
        <f t="shared" si="15"/>
        <v>0.65525189331577216</v>
      </c>
      <c r="H483" s="47" t="s">
        <v>41</v>
      </c>
      <c r="I483" s="47">
        <v>2024</v>
      </c>
    </row>
    <row r="484" spans="1:9" x14ac:dyDescent="0.2">
      <c r="A484" s="47" t="str">
        <f t="shared" si="16"/>
        <v>240Febrero2024</v>
      </c>
      <c r="B484" s="47">
        <v>21</v>
      </c>
      <c r="C484" s="47">
        <v>240</v>
      </c>
      <c r="D484" s="47" t="s">
        <v>23</v>
      </c>
      <c r="E484" s="48">
        <v>1314</v>
      </c>
      <c r="F484" s="48">
        <v>2730</v>
      </c>
      <c r="G484" s="56">
        <f t="shared" si="15"/>
        <v>0.48131868131868133</v>
      </c>
      <c r="H484" s="47" t="s">
        <v>41</v>
      </c>
      <c r="I484" s="47">
        <v>2024</v>
      </c>
    </row>
    <row r="485" spans="1:9" x14ac:dyDescent="0.2">
      <c r="A485" s="47" t="str">
        <f t="shared" si="16"/>
        <v>235Marzo2024</v>
      </c>
      <c r="B485" s="47">
        <v>1</v>
      </c>
      <c r="C485" s="47">
        <v>235</v>
      </c>
      <c r="D485" s="47" t="s">
        <v>33</v>
      </c>
      <c r="E485" s="48">
        <v>8224</v>
      </c>
      <c r="F485" s="48">
        <v>8231</v>
      </c>
      <c r="G485" s="56">
        <f t="shared" si="15"/>
        <v>0.99914955655448912</v>
      </c>
      <c r="H485" s="47" t="s">
        <v>42</v>
      </c>
      <c r="I485" s="47">
        <v>2024</v>
      </c>
    </row>
    <row r="486" spans="1:9" x14ac:dyDescent="0.2">
      <c r="A486" s="47" t="str">
        <f t="shared" si="16"/>
        <v>1557Marzo2024</v>
      </c>
      <c r="B486" s="47">
        <v>2</v>
      </c>
      <c r="C486" s="47">
        <v>1557</v>
      </c>
      <c r="D486" s="47" t="s">
        <v>12</v>
      </c>
      <c r="E486" s="48">
        <v>5063</v>
      </c>
      <c r="F486" s="48">
        <v>5134</v>
      </c>
      <c r="G486" s="56">
        <f t="shared" si="15"/>
        <v>0.98617062719127391</v>
      </c>
      <c r="H486" s="47" t="s">
        <v>42</v>
      </c>
      <c r="I486" s="47">
        <v>2024</v>
      </c>
    </row>
    <row r="487" spans="1:9" x14ac:dyDescent="0.2">
      <c r="A487" s="47" t="str">
        <f t="shared" si="16"/>
        <v>11882Marzo2024</v>
      </c>
      <c r="B487" s="47">
        <v>3</v>
      </c>
      <c r="C487" s="47">
        <v>11882</v>
      </c>
      <c r="D487" s="47" t="s">
        <v>22</v>
      </c>
      <c r="E487" s="48">
        <v>2978</v>
      </c>
      <c r="F487" s="48">
        <v>3042</v>
      </c>
      <c r="G487" s="56">
        <f t="shared" si="15"/>
        <v>0.97896120973044054</v>
      </c>
      <c r="H487" s="47" t="s">
        <v>42</v>
      </c>
      <c r="I487" s="47">
        <v>2024</v>
      </c>
    </row>
    <row r="488" spans="1:9" x14ac:dyDescent="0.2">
      <c r="A488" s="47" t="str">
        <f t="shared" si="16"/>
        <v>233Marzo2024</v>
      </c>
      <c r="B488" s="47">
        <v>4</v>
      </c>
      <c r="C488" s="47">
        <v>233</v>
      </c>
      <c r="D488" s="47" t="s">
        <v>27</v>
      </c>
      <c r="E488" s="48">
        <v>23975</v>
      </c>
      <c r="F488" s="48">
        <v>24894</v>
      </c>
      <c r="G488" s="56">
        <f t="shared" si="15"/>
        <v>0.96308347392946092</v>
      </c>
      <c r="H488" s="47" t="s">
        <v>42</v>
      </c>
      <c r="I488" s="47">
        <v>2024</v>
      </c>
    </row>
    <row r="489" spans="1:9" x14ac:dyDescent="0.2">
      <c r="A489" s="47" t="str">
        <f t="shared" si="16"/>
        <v>234Marzo2024</v>
      </c>
      <c r="B489" s="47">
        <v>5</v>
      </c>
      <c r="C489" s="47">
        <v>234</v>
      </c>
      <c r="D489" s="47" t="s">
        <v>18</v>
      </c>
      <c r="E489" s="48">
        <v>10495</v>
      </c>
      <c r="F489" s="48">
        <v>11124</v>
      </c>
      <c r="G489" s="56">
        <f t="shared" si="15"/>
        <v>0.94345559151384395</v>
      </c>
      <c r="H489" s="47" t="s">
        <v>42</v>
      </c>
      <c r="I489" s="47">
        <v>2024</v>
      </c>
    </row>
    <row r="490" spans="1:9" x14ac:dyDescent="0.2">
      <c r="A490" s="47" t="str">
        <f t="shared" si="16"/>
        <v>28745Marzo2024</v>
      </c>
      <c r="B490" s="47">
        <v>6</v>
      </c>
      <c r="C490" s="47">
        <v>28745</v>
      </c>
      <c r="D490" s="47" t="s">
        <v>6</v>
      </c>
      <c r="E490" s="48">
        <v>885</v>
      </c>
      <c r="F490" s="48">
        <v>942</v>
      </c>
      <c r="G490" s="56">
        <f t="shared" si="15"/>
        <v>0.93949044585987262</v>
      </c>
      <c r="H490" s="47" t="s">
        <v>42</v>
      </c>
      <c r="I490" s="47">
        <v>2024</v>
      </c>
    </row>
    <row r="491" spans="1:9" x14ac:dyDescent="0.2">
      <c r="A491" s="47" t="str">
        <f t="shared" si="16"/>
        <v>239Marzo2024</v>
      </c>
      <c r="B491" s="47">
        <v>7</v>
      </c>
      <c r="C491" s="47">
        <v>239</v>
      </c>
      <c r="D491" s="47" t="s">
        <v>32</v>
      </c>
      <c r="E491" s="48">
        <v>9056</v>
      </c>
      <c r="F491" s="48">
        <v>9766</v>
      </c>
      <c r="G491" s="56">
        <f t="shared" si="15"/>
        <v>0.92729879172639773</v>
      </c>
      <c r="H491" s="47" t="s">
        <v>42</v>
      </c>
      <c r="I491" s="47">
        <v>2024</v>
      </c>
    </row>
    <row r="492" spans="1:9" x14ac:dyDescent="0.2">
      <c r="A492" s="47" t="str">
        <f t="shared" si="16"/>
        <v>11117Marzo2024</v>
      </c>
      <c r="B492" s="47">
        <v>8</v>
      </c>
      <c r="C492" s="47">
        <v>11117</v>
      </c>
      <c r="D492" s="47" t="s">
        <v>15</v>
      </c>
      <c r="E492" s="48">
        <v>22097</v>
      </c>
      <c r="F492" s="48">
        <v>24128</v>
      </c>
      <c r="G492" s="56">
        <f t="shared" si="15"/>
        <v>0.9158239389920424</v>
      </c>
      <c r="H492" s="47" t="s">
        <v>42</v>
      </c>
      <c r="I492" s="47">
        <v>2024</v>
      </c>
    </row>
    <row r="493" spans="1:9" x14ac:dyDescent="0.2">
      <c r="A493" s="47" t="str">
        <f t="shared" si="16"/>
        <v>236Marzo2024</v>
      </c>
      <c r="B493" s="47">
        <v>9</v>
      </c>
      <c r="C493" s="47">
        <v>236</v>
      </c>
      <c r="D493" s="47" t="s">
        <v>25</v>
      </c>
      <c r="E493" s="48">
        <v>9092</v>
      </c>
      <c r="F493" s="48">
        <v>9854</v>
      </c>
      <c r="G493" s="56">
        <f t="shared" si="15"/>
        <v>0.92267099654962448</v>
      </c>
      <c r="H493" s="47" t="s">
        <v>42</v>
      </c>
      <c r="I493" s="47">
        <v>2024</v>
      </c>
    </row>
    <row r="494" spans="1:9" x14ac:dyDescent="0.2">
      <c r="A494" s="47" t="str">
        <f t="shared" si="16"/>
        <v>10904Marzo2024</v>
      </c>
      <c r="B494" s="47">
        <v>10</v>
      </c>
      <c r="C494" s="47">
        <v>10904</v>
      </c>
      <c r="D494" s="47" t="s">
        <v>29</v>
      </c>
      <c r="E494" s="48">
        <v>3739</v>
      </c>
      <c r="F494" s="48">
        <v>4156</v>
      </c>
      <c r="G494" s="56">
        <f t="shared" si="15"/>
        <v>0.89966313763233874</v>
      </c>
      <c r="H494" s="47" t="s">
        <v>42</v>
      </c>
      <c r="I494" s="47">
        <v>2024</v>
      </c>
    </row>
    <row r="495" spans="1:9" x14ac:dyDescent="0.2">
      <c r="A495" s="47" t="str">
        <f t="shared" si="16"/>
        <v>246Marzo2024</v>
      </c>
      <c r="B495" s="47">
        <v>11</v>
      </c>
      <c r="C495" s="47">
        <v>246</v>
      </c>
      <c r="D495" s="47" t="s">
        <v>9</v>
      </c>
      <c r="E495" s="48">
        <v>6792</v>
      </c>
      <c r="F495" s="48">
        <v>7517</v>
      </c>
      <c r="G495" s="56">
        <f t="shared" si="15"/>
        <v>0.90355194891579083</v>
      </c>
      <c r="H495" s="47" t="s">
        <v>42</v>
      </c>
      <c r="I495" s="47">
        <v>2024</v>
      </c>
    </row>
    <row r="496" spans="1:9" x14ac:dyDescent="0.2">
      <c r="A496" s="47" t="str">
        <f t="shared" si="16"/>
        <v>238Marzo2024</v>
      </c>
      <c r="B496" s="47">
        <v>12</v>
      </c>
      <c r="C496" s="47">
        <v>238</v>
      </c>
      <c r="D496" s="47" t="s">
        <v>35</v>
      </c>
      <c r="E496" s="48">
        <v>4761</v>
      </c>
      <c r="F496" s="48">
        <v>5330</v>
      </c>
      <c r="G496" s="56">
        <f t="shared" si="15"/>
        <v>0.89324577861163224</v>
      </c>
      <c r="H496" s="47" t="s">
        <v>42</v>
      </c>
      <c r="I496" s="47">
        <v>2024</v>
      </c>
    </row>
    <row r="497" spans="1:9" x14ac:dyDescent="0.2">
      <c r="A497" s="47" t="str">
        <f t="shared" si="16"/>
        <v>241Marzo2024</v>
      </c>
      <c r="B497" s="47">
        <v>13</v>
      </c>
      <c r="C497" s="47">
        <v>241</v>
      </c>
      <c r="D497" s="47" t="s">
        <v>30</v>
      </c>
      <c r="E497" s="48">
        <v>5523</v>
      </c>
      <c r="F497" s="48">
        <v>6234</v>
      </c>
      <c r="G497" s="56">
        <f t="shared" si="15"/>
        <v>0.88594802694898944</v>
      </c>
      <c r="H497" s="47" t="s">
        <v>42</v>
      </c>
      <c r="I497" s="47">
        <v>2024</v>
      </c>
    </row>
    <row r="498" spans="1:9" x14ac:dyDescent="0.2">
      <c r="A498" s="47" t="str">
        <f t="shared" si="16"/>
        <v>11116Marzo2024</v>
      </c>
      <c r="B498" s="47">
        <v>14</v>
      </c>
      <c r="C498" s="47">
        <v>11116</v>
      </c>
      <c r="D498" s="47" t="s">
        <v>28</v>
      </c>
      <c r="E498" s="48">
        <v>20554</v>
      </c>
      <c r="F498" s="48">
        <v>23359</v>
      </c>
      <c r="G498" s="56">
        <f t="shared" si="15"/>
        <v>0.8799178047005437</v>
      </c>
      <c r="H498" s="47" t="s">
        <v>42</v>
      </c>
      <c r="I498" s="47">
        <v>2024</v>
      </c>
    </row>
    <row r="499" spans="1:9" x14ac:dyDescent="0.2">
      <c r="A499" s="47" t="str">
        <f t="shared" si="16"/>
        <v>11931Marzo2024</v>
      </c>
      <c r="B499" s="47">
        <v>15</v>
      </c>
      <c r="C499" s="47">
        <v>11931</v>
      </c>
      <c r="D499" s="47" t="s">
        <v>39</v>
      </c>
      <c r="E499" s="48">
        <v>5491</v>
      </c>
      <c r="F499" s="48">
        <v>6229</v>
      </c>
      <c r="G499" s="56">
        <f t="shared" si="15"/>
        <v>0.88152191362979615</v>
      </c>
      <c r="H499" s="47" t="s">
        <v>42</v>
      </c>
      <c r="I499" s="47">
        <v>2024</v>
      </c>
    </row>
    <row r="500" spans="1:9" x14ac:dyDescent="0.2">
      <c r="A500" s="47" t="str">
        <f t="shared" si="16"/>
        <v>242Marzo2024</v>
      </c>
      <c r="B500" s="47">
        <v>16</v>
      </c>
      <c r="C500" s="47">
        <v>242</v>
      </c>
      <c r="D500" s="47" t="s">
        <v>7</v>
      </c>
      <c r="E500" s="48">
        <v>8590</v>
      </c>
      <c r="F500" s="48">
        <v>9857</v>
      </c>
      <c r="G500" s="56">
        <f t="shared" si="15"/>
        <v>0.87146190524500355</v>
      </c>
      <c r="H500" s="47" t="s">
        <v>42</v>
      </c>
      <c r="I500" s="47">
        <v>2024</v>
      </c>
    </row>
    <row r="501" spans="1:9" x14ac:dyDescent="0.2">
      <c r="A501" s="47" t="str">
        <f t="shared" si="16"/>
        <v>243Marzo2024</v>
      </c>
      <c r="B501" s="47">
        <v>17</v>
      </c>
      <c r="C501" s="47">
        <v>243</v>
      </c>
      <c r="D501" s="47" t="s">
        <v>34</v>
      </c>
      <c r="E501" s="48">
        <v>7970</v>
      </c>
      <c r="F501" s="48">
        <v>9218</v>
      </c>
      <c r="G501" s="56">
        <f t="shared" si="15"/>
        <v>0.86461271425471897</v>
      </c>
      <c r="H501" s="47" t="s">
        <v>42</v>
      </c>
      <c r="I501" s="47">
        <v>2024</v>
      </c>
    </row>
    <row r="502" spans="1:9" x14ac:dyDescent="0.2">
      <c r="A502" s="47" t="str">
        <f t="shared" si="16"/>
        <v>237Marzo2024</v>
      </c>
      <c r="B502" s="47">
        <v>18</v>
      </c>
      <c r="C502" s="47">
        <v>237</v>
      </c>
      <c r="D502" s="47" t="s">
        <v>31</v>
      </c>
      <c r="E502" s="48">
        <v>12304</v>
      </c>
      <c r="F502" s="48">
        <v>14863</v>
      </c>
      <c r="G502" s="56">
        <f t="shared" si="15"/>
        <v>0.82782749108524523</v>
      </c>
      <c r="H502" s="47" t="s">
        <v>42</v>
      </c>
      <c r="I502" s="47">
        <v>2024</v>
      </c>
    </row>
    <row r="503" spans="1:9" x14ac:dyDescent="0.2">
      <c r="A503" s="47" t="str">
        <f t="shared" si="16"/>
        <v>11799Marzo2024</v>
      </c>
      <c r="B503" s="47">
        <v>19</v>
      </c>
      <c r="C503" s="47">
        <v>11799</v>
      </c>
      <c r="D503" s="47" t="s">
        <v>21</v>
      </c>
      <c r="E503" s="48">
        <v>4601</v>
      </c>
      <c r="F503" s="48">
        <v>5659</v>
      </c>
      <c r="G503" s="56">
        <f t="shared" si="15"/>
        <v>0.8130411733521824</v>
      </c>
      <c r="H503" s="47" t="s">
        <v>42</v>
      </c>
      <c r="I503" s="47">
        <v>2024</v>
      </c>
    </row>
    <row r="504" spans="1:9" x14ac:dyDescent="0.2">
      <c r="A504" s="47" t="str">
        <f t="shared" si="16"/>
        <v>10951Marzo2024</v>
      </c>
      <c r="B504" s="47">
        <v>20</v>
      </c>
      <c r="C504" s="47">
        <v>10951</v>
      </c>
      <c r="D504" s="47" t="s">
        <v>24</v>
      </c>
      <c r="E504" s="48">
        <v>3430</v>
      </c>
      <c r="F504" s="48">
        <v>4283</v>
      </c>
      <c r="G504" s="56">
        <f t="shared" si="15"/>
        <v>0.8008405323371468</v>
      </c>
      <c r="H504" s="47" t="s">
        <v>42</v>
      </c>
      <c r="I504" s="47">
        <v>2024</v>
      </c>
    </row>
    <row r="505" spans="1:9" x14ac:dyDescent="0.2">
      <c r="A505" s="47" t="str">
        <f t="shared" si="16"/>
        <v>240Marzo2024</v>
      </c>
      <c r="B505" s="47">
        <v>21</v>
      </c>
      <c r="C505" s="47">
        <v>240</v>
      </c>
      <c r="D505" s="47" t="s">
        <v>23</v>
      </c>
      <c r="E505" s="48">
        <v>3147</v>
      </c>
      <c r="F505" s="48">
        <v>5818</v>
      </c>
      <c r="G505" s="56">
        <f t="shared" si="15"/>
        <v>0.54090752836026124</v>
      </c>
      <c r="H505" s="47" t="s">
        <v>42</v>
      </c>
      <c r="I505" s="47">
        <v>2024</v>
      </c>
    </row>
    <row r="506" spans="1:9" x14ac:dyDescent="0.2">
      <c r="A506" s="47" t="str">
        <f t="shared" si="16"/>
        <v>12166Agosto2024</v>
      </c>
      <c r="B506" s="47">
        <v>1</v>
      </c>
      <c r="C506" s="47">
        <v>12166</v>
      </c>
      <c r="D506" s="47" t="s">
        <v>65</v>
      </c>
      <c r="E506" s="48">
        <v>6902</v>
      </c>
      <c r="F506" s="48">
        <v>7015</v>
      </c>
      <c r="G506" s="56">
        <f t="shared" si="15"/>
        <v>0.98389166072701351</v>
      </c>
      <c r="H506" s="47" t="s">
        <v>47</v>
      </c>
      <c r="I506" s="47">
        <v>2024</v>
      </c>
    </row>
    <row r="507" spans="1:9" x14ac:dyDescent="0.2">
      <c r="A507" s="47" t="str">
        <f t="shared" si="16"/>
        <v>11882Agosto2024</v>
      </c>
      <c r="B507" s="47">
        <v>2</v>
      </c>
      <c r="C507" s="47">
        <v>11882</v>
      </c>
      <c r="D507" s="47" t="s">
        <v>22</v>
      </c>
      <c r="E507" s="48">
        <v>8014</v>
      </c>
      <c r="F507" s="48">
        <v>8297</v>
      </c>
      <c r="G507" s="56">
        <f t="shared" si="15"/>
        <v>0.96589128600699048</v>
      </c>
      <c r="H507" s="47" t="s">
        <v>47</v>
      </c>
      <c r="I507" s="47">
        <v>2024</v>
      </c>
    </row>
    <row r="508" spans="1:9" x14ac:dyDescent="0.2">
      <c r="A508" s="47" t="str">
        <f t="shared" si="16"/>
        <v>235Agosto2024</v>
      </c>
      <c r="B508" s="47">
        <v>3</v>
      </c>
      <c r="C508" s="47">
        <v>235</v>
      </c>
      <c r="D508" s="47" t="s">
        <v>33</v>
      </c>
      <c r="E508" s="48">
        <v>21852</v>
      </c>
      <c r="F508" s="48">
        <v>22483</v>
      </c>
      <c r="G508" s="56">
        <f t="shared" ref="G508:G571" si="17">E508/F508</f>
        <v>0.97193435039807852</v>
      </c>
      <c r="H508" s="47" t="s">
        <v>47</v>
      </c>
      <c r="I508" s="47">
        <v>2024</v>
      </c>
    </row>
    <row r="509" spans="1:9" x14ac:dyDescent="0.2">
      <c r="A509" s="47" t="str">
        <f t="shared" si="16"/>
        <v>233Agosto2024</v>
      </c>
      <c r="B509" s="47">
        <v>4</v>
      </c>
      <c r="C509" s="47">
        <v>233</v>
      </c>
      <c r="D509" s="47" t="s">
        <v>27</v>
      </c>
      <c r="E509" s="48">
        <v>71037</v>
      </c>
      <c r="F509" s="48">
        <v>73756</v>
      </c>
      <c r="G509" s="56">
        <f t="shared" si="17"/>
        <v>0.96313520255979179</v>
      </c>
      <c r="H509" s="47" t="s">
        <v>47</v>
      </c>
      <c r="I509" s="47">
        <v>2024</v>
      </c>
    </row>
    <row r="510" spans="1:9" x14ac:dyDescent="0.2">
      <c r="A510" s="47" t="str">
        <f t="shared" si="16"/>
        <v>246Agosto2024</v>
      </c>
      <c r="B510" s="47">
        <v>5</v>
      </c>
      <c r="C510" s="47">
        <v>246</v>
      </c>
      <c r="D510" s="47" t="s">
        <v>9</v>
      </c>
      <c r="E510" s="48">
        <v>20227</v>
      </c>
      <c r="F510" s="48">
        <v>20976</v>
      </c>
      <c r="G510" s="56">
        <f t="shared" si="17"/>
        <v>0.96429252479023642</v>
      </c>
      <c r="H510" s="47" t="s">
        <v>47</v>
      </c>
      <c r="I510" s="47">
        <v>2024</v>
      </c>
    </row>
    <row r="511" spans="1:9" x14ac:dyDescent="0.2">
      <c r="A511" s="47" t="str">
        <f t="shared" si="16"/>
        <v>28745Agosto2024</v>
      </c>
      <c r="B511" s="47">
        <v>6</v>
      </c>
      <c r="C511" s="47">
        <v>28745</v>
      </c>
      <c r="D511" s="47" t="s">
        <v>6</v>
      </c>
      <c r="E511" s="48">
        <v>2763</v>
      </c>
      <c r="F511" s="48">
        <v>2873</v>
      </c>
      <c r="G511" s="56">
        <f t="shared" si="17"/>
        <v>0.96171249564914718</v>
      </c>
      <c r="H511" s="47" t="s">
        <v>47</v>
      </c>
      <c r="I511" s="47">
        <v>2024</v>
      </c>
    </row>
    <row r="512" spans="1:9" x14ac:dyDescent="0.2">
      <c r="A512" s="47" t="str">
        <f t="shared" si="16"/>
        <v>1557Agosto2024</v>
      </c>
      <c r="B512" s="47">
        <v>7</v>
      </c>
      <c r="C512" s="47">
        <v>1557</v>
      </c>
      <c r="D512" s="47" t="s">
        <v>12</v>
      </c>
      <c r="E512" s="48">
        <v>11686</v>
      </c>
      <c r="F512" s="48">
        <v>12493</v>
      </c>
      <c r="G512" s="56">
        <f t="shared" si="17"/>
        <v>0.93540382614263984</v>
      </c>
      <c r="H512" s="47" t="s">
        <v>47</v>
      </c>
      <c r="I512" s="47">
        <v>2024</v>
      </c>
    </row>
    <row r="513" spans="1:9" x14ac:dyDescent="0.2">
      <c r="A513" s="47" t="str">
        <f t="shared" si="16"/>
        <v>11117Agosto2024</v>
      </c>
      <c r="B513" s="47">
        <v>8</v>
      </c>
      <c r="C513" s="47">
        <v>11117</v>
      </c>
      <c r="D513" s="47" t="s">
        <v>15</v>
      </c>
      <c r="E513" s="48">
        <v>58799</v>
      </c>
      <c r="F513" s="48">
        <v>63730</v>
      </c>
      <c r="G513" s="56">
        <f t="shared" si="17"/>
        <v>0.92262670641769962</v>
      </c>
      <c r="H513" s="47" t="s">
        <v>47</v>
      </c>
      <c r="I513" s="47">
        <v>2024</v>
      </c>
    </row>
    <row r="514" spans="1:9" x14ac:dyDescent="0.2">
      <c r="A514" s="47" t="str">
        <f t="shared" si="16"/>
        <v>234Agosto2024</v>
      </c>
      <c r="B514" s="47">
        <v>9</v>
      </c>
      <c r="C514" s="47">
        <v>234</v>
      </c>
      <c r="D514" s="47" t="s">
        <v>18</v>
      </c>
      <c r="E514" s="48">
        <v>30686</v>
      </c>
      <c r="F514" s="48">
        <v>33491</v>
      </c>
      <c r="G514" s="56">
        <f t="shared" si="17"/>
        <v>0.91624615568361645</v>
      </c>
      <c r="H514" s="47" t="s">
        <v>47</v>
      </c>
      <c r="I514" s="47">
        <v>2024</v>
      </c>
    </row>
    <row r="515" spans="1:9" x14ac:dyDescent="0.2">
      <c r="A515" s="47" t="str">
        <f t="shared" si="16"/>
        <v>239Agosto2024</v>
      </c>
      <c r="B515" s="47">
        <v>10</v>
      </c>
      <c r="C515" s="47">
        <v>239</v>
      </c>
      <c r="D515" s="47" t="s">
        <v>32</v>
      </c>
      <c r="E515" s="48">
        <v>24679</v>
      </c>
      <c r="F515" s="48">
        <v>26903</v>
      </c>
      <c r="G515" s="56">
        <f t="shared" si="17"/>
        <v>0.91733263948258559</v>
      </c>
      <c r="H515" s="47" t="s">
        <v>47</v>
      </c>
      <c r="I515" s="47">
        <v>2024</v>
      </c>
    </row>
    <row r="516" spans="1:9" x14ac:dyDescent="0.2">
      <c r="A516" s="47" t="str">
        <f t="shared" si="16"/>
        <v>11799Agosto2024</v>
      </c>
      <c r="B516" s="47">
        <v>11</v>
      </c>
      <c r="C516" s="47">
        <v>11799</v>
      </c>
      <c r="D516" s="47" t="s">
        <v>21</v>
      </c>
      <c r="E516" s="48">
        <v>10702</v>
      </c>
      <c r="F516" s="48">
        <v>11820</v>
      </c>
      <c r="G516" s="56">
        <f t="shared" si="17"/>
        <v>0.905414551607445</v>
      </c>
      <c r="H516" s="47" t="s">
        <v>47</v>
      </c>
      <c r="I516" s="47">
        <v>2024</v>
      </c>
    </row>
    <row r="517" spans="1:9" x14ac:dyDescent="0.2">
      <c r="A517" s="47" t="str">
        <f t="shared" si="16"/>
        <v>236Agosto2024</v>
      </c>
      <c r="B517" s="47">
        <v>12</v>
      </c>
      <c r="C517" s="47">
        <v>236</v>
      </c>
      <c r="D517" s="47" t="s">
        <v>25</v>
      </c>
      <c r="E517" s="48">
        <v>29598</v>
      </c>
      <c r="F517" s="48">
        <v>32450</v>
      </c>
      <c r="G517" s="56">
        <f t="shared" si="17"/>
        <v>0.9121109399075501</v>
      </c>
      <c r="H517" s="47" t="s">
        <v>47</v>
      </c>
      <c r="I517" s="47">
        <v>2024</v>
      </c>
    </row>
    <row r="518" spans="1:9" x14ac:dyDescent="0.2">
      <c r="A518" s="47" t="str">
        <f t="shared" si="16"/>
        <v>10904Agosto2024</v>
      </c>
      <c r="B518" s="47">
        <v>13</v>
      </c>
      <c r="C518" s="47">
        <v>10904</v>
      </c>
      <c r="D518" s="47" t="s">
        <v>29</v>
      </c>
      <c r="E518" s="48">
        <v>11043</v>
      </c>
      <c r="F518" s="48">
        <v>12209</v>
      </c>
      <c r="G518" s="56">
        <f t="shared" si="17"/>
        <v>0.90449668277500206</v>
      </c>
      <c r="H518" s="47" t="s">
        <v>47</v>
      </c>
      <c r="I518" s="47">
        <v>2024</v>
      </c>
    </row>
    <row r="519" spans="1:9" x14ac:dyDescent="0.2">
      <c r="A519" s="47" t="str">
        <f t="shared" si="16"/>
        <v>238Agosto2024</v>
      </c>
      <c r="B519" s="47">
        <v>14</v>
      </c>
      <c r="C519" s="47">
        <v>238</v>
      </c>
      <c r="D519" s="47" t="s">
        <v>35</v>
      </c>
      <c r="E519" s="48">
        <v>13711</v>
      </c>
      <c r="F519" s="48">
        <v>15176</v>
      </c>
      <c r="G519" s="56">
        <f t="shared" si="17"/>
        <v>0.90346599894570379</v>
      </c>
      <c r="H519" s="47" t="s">
        <v>47</v>
      </c>
      <c r="I519" s="47">
        <v>2024</v>
      </c>
    </row>
    <row r="520" spans="1:9" x14ac:dyDescent="0.2">
      <c r="A520" s="47" t="str">
        <f t="shared" si="16"/>
        <v>241Agosto2024</v>
      </c>
      <c r="B520" s="47">
        <v>15</v>
      </c>
      <c r="C520" s="47">
        <v>241</v>
      </c>
      <c r="D520" s="47" t="s">
        <v>30</v>
      </c>
      <c r="E520" s="48">
        <v>12507</v>
      </c>
      <c r="F520" s="48">
        <v>13890</v>
      </c>
      <c r="G520" s="56">
        <f t="shared" si="17"/>
        <v>0.9004319654427646</v>
      </c>
      <c r="H520" s="47" t="s">
        <v>47</v>
      </c>
      <c r="I520" s="47">
        <v>2024</v>
      </c>
    </row>
    <row r="521" spans="1:9" x14ac:dyDescent="0.2">
      <c r="A521" s="47" t="str">
        <f t="shared" si="16"/>
        <v>242Agosto2024</v>
      </c>
      <c r="B521" s="47">
        <v>16</v>
      </c>
      <c r="C521" s="47">
        <v>242</v>
      </c>
      <c r="D521" s="47" t="s">
        <v>7</v>
      </c>
      <c r="E521" s="48">
        <v>19296</v>
      </c>
      <c r="F521" s="48">
        <v>21918</v>
      </c>
      <c r="G521" s="56">
        <f t="shared" si="17"/>
        <v>0.88037229674240347</v>
      </c>
      <c r="H521" s="47" t="s">
        <v>47</v>
      </c>
      <c r="I521" s="47">
        <v>2024</v>
      </c>
    </row>
    <row r="522" spans="1:9" x14ac:dyDescent="0.2">
      <c r="A522" s="47" t="str">
        <f t="shared" si="16"/>
        <v>11116Agosto2024</v>
      </c>
      <c r="B522" s="47">
        <v>17</v>
      </c>
      <c r="C522" s="47">
        <v>11116</v>
      </c>
      <c r="D522" s="47" t="s">
        <v>28</v>
      </c>
      <c r="E522" s="48">
        <v>65217</v>
      </c>
      <c r="F522" s="48">
        <v>75068</v>
      </c>
      <c r="G522" s="56">
        <f t="shared" si="17"/>
        <v>0.8687723131027868</v>
      </c>
      <c r="H522" s="47" t="s">
        <v>47</v>
      </c>
      <c r="I522" s="47">
        <v>2024</v>
      </c>
    </row>
    <row r="523" spans="1:9" x14ac:dyDescent="0.2">
      <c r="A523" s="47" t="str">
        <f t="shared" si="16"/>
        <v>11931Agosto2024</v>
      </c>
      <c r="B523" s="47">
        <v>18</v>
      </c>
      <c r="C523" s="47">
        <v>11931</v>
      </c>
      <c r="D523" s="47" t="s">
        <v>39</v>
      </c>
      <c r="E523" s="48">
        <v>15330</v>
      </c>
      <c r="F523" s="48">
        <v>17739</v>
      </c>
      <c r="G523" s="56">
        <f t="shared" si="17"/>
        <v>0.86419753086419748</v>
      </c>
      <c r="H523" s="47" t="s">
        <v>47</v>
      </c>
      <c r="I523" s="47">
        <v>2024</v>
      </c>
    </row>
    <row r="524" spans="1:9" x14ac:dyDescent="0.2">
      <c r="A524" s="47" t="str">
        <f t="shared" si="16"/>
        <v>10951Agosto2024</v>
      </c>
      <c r="B524" s="47">
        <v>19</v>
      </c>
      <c r="C524" s="47">
        <v>10951</v>
      </c>
      <c r="D524" s="47" t="s">
        <v>24</v>
      </c>
      <c r="E524" s="48">
        <v>10547</v>
      </c>
      <c r="F524" s="48">
        <v>12614</v>
      </c>
      <c r="G524" s="56">
        <f t="shared" si="17"/>
        <v>0.83613445378151263</v>
      </c>
      <c r="H524" s="47" t="s">
        <v>47</v>
      </c>
      <c r="I524" s="47">
        <v>2024</v>
      </c>
    </row>
    <row r="525" spans="1:9" x14ac:dyDescent="0.2">
      <c r="A525" s="47" t="str">
        <f t="shared" si="16"/>
        <v>12165Agosto2024</v>
      </c>
      <c r="B525" s="47">
        <v>20</v>
      </c>
      <c r="C525" s="47">
        <v>12165</v>
      </c>
      <c r="D525" s="47" t="s">
        <v>66</v>
      </c>
      <c r="E525" s="48">
        <v>2256</v>
      </c>
      <c r="F525" s="48">
        <v>2686</v>
      </c>
      <c r="G525" s="56">
        <f t="shared" si="17"/>
        <v>0.83991064780342517</v>
      </c>
      <c r="H525" s="47" t="s">
        <v>47</v>
      </c>
      <c r="I525" s="47">
        <v>2024</v>
      </c>
    </row>
    <row r="526" spans="1:9" x14ac:dyDescent="0.2">
      <c r="A526" s="47" t="str">
        <f t="shared" si="16"/>
        <v>12163Agosto2024</v>
      </c>
      <c r="B526" s="47">
        <v>21</v>
      </c>
      <c r="C526" s="47">
        <v>12163</v>
      </c>
      <c r="D526" s="47" t="s">
        <v>67</v>
      </c>
      <c r="E526" s="48">
        <v>6933</v>
      </c>
      <c r="F526" s="48">
        <v>8604</v>
      </c>
      <c r="G526" s="56">
        <f t="shared" si="17"/>
        <v>0.80578800557880059</v>
      </c>
      <c r="H526" s="47" t="s">
        <v>47</v>
      </c>
      <c r="I526" s="47">
        <v>2024</v>
      </c>
    </row>
    <row r="527" spans="1:9" x14ac:dyDescent="0.2">
      <c r="A527" s="47" t="str">
        <f t="shared" si="16"/>
        <v>243Agosto2024</v>
      </c>
      <c r="B527" s="47">
        <v>22</v>
      </c>
      <c r="C527" s="47">
        <v>243</v>
      </c>
      <c r="D527" s="47" t="s">
        <v>34</v>
      </c>
      <c r="E527" s="48">
        <v>21052</v>
      </c>
      <c r="F527" s="48">
        <v>26369</v>
      </c>
      <c r="G527" s="56">
        <f t="shared" si="17"/>
        <v>0.79836171261708822</v>
      </c>
      <c r="H527" s="47" t="s">
        <v>47</v>
      </c>
      <c r="I527" s="47">
        <v>2024</v>
      </c>
    </row>
    <row r="528" spans="1:9" x14ac:dyDescent="0.2">
      <c r="A528" s="47" t="str">
        <f t="shared" si="16"/>
        <v>237Agosto2024</v>
      </c>
      <c r="B528" s="47">
        <v>23</v>
      </c>
      <c r="C528" s="47">
        <v>237</v>
      </c>
      <c r="D528" s="47" t="s">
        <v>31</v>
      </c>
      <c r="E528" s="48">
        <v>31702</v>
      </c>
      <c r="F528" s="48">
        <v>45837</v>
      </c>
      <c r="G528" s="56">
        <f t="shared" si="17"/>
        <v>0.69162467002639794</v>
      </c>
      <c r="H528" s="47" t="s">
        <v>47</v>
      </c>
      <c r="I528" s="47">
        <v>2024</v>
      </c>
    </row>
    <row r="529" spans="1:9" x14ac:dyDescent="0.2">
      <c r="A529" s="47" t="str">
        <f t="shared" si="16"/>
        <v>240Agosto2024</v>
      </c>
      <c r="B529" s="47">
        <v>24</v>
      </c>
      <c r="C529" s="47">
        <v>240</v>
      </c>
      <c r="D529" s="47" t="s">
        <v>23</v>
      </c>
      <c r="E529" s="48">
        <v>12835</v>
      </c>
      <c r="F529" s="48">
        <v>19816</v>
      </c>
      <c r="G529" s="56">
        <f t="shared" si="17"/>
        <v>0.64770892208316511</v>
      </c>
      <c r="H529" s="47" t="s">
        <v>47</v>
      </c>
      <c r="I529" s="47">
        <v>2024</v>
      </c>
    </row>
    <row r="530" spans="1:9" ht="13.8" x14ac:dyDescent="0.25">
      <c r="A530" s="47" t="str">
        <f t="shared" si="16"/>
        <v>11799Enero2025</v>
      </c>
      <c r="B530" s="64">
        <v>1</v>
      </c>
      <c r="C530" s="64">
        <v>11799</v>
      </c>
      <c r="D530" s="65" t="s">
        <v>21</v>
      </c>
      <c r="E530" s="64">
        <v>1803</v>
      </c>
      <c r="F530" s="64">
        <v>1823</v>
      </c>
      <c r="G530" s="56">
        <f t="shared" si="17"/>
        <v>0.98902907295666487</v>
      </c>
      <c r="H530" s="47" t="s">
        <v>40</v>
      </c>
      <c r="I530" s="47">
        <v>2025</v>
      </c>
    </row>
    <row r="531" spans="1:9" ht="13.8" x14ac:dyDescent="0.25">
      <c r="A531" s="47" t="str">
        <f t="shared" si="16"/>
        <v>246Enero2025</v>
      </c>
      <c r="B531" s="64">
        <v>2</v>
      </c>
      <c r="C531" s="64">
        <v>246</v>
      </c>
      <c r="D531" s="65" t="s">
        <v>9</v>
      </c>
      <c r="E531" s="64">
        <v>2687</v>
      </c>
      <c r="F531" s="64">
        <v>2705</v>
      </c>
      <c r="G531" s="56">
        <f t="shared" si="17"/>
        <v>0.99334565619223658</v>
      </c>
      <c r="H531" s="47" t="s">
        <v>40</v>
      </c>
      <c r="I531" s="47">
        <v>2025</v>
      </c>
    </row>
    <row r="532" spans="1:9" ht="13.8" x14ac:dyDescent="0.25">
      <c r="A532" s="47" t="str">
        <f t="shared" si="16"/>
        <v>12165Enero2025</v>
      </c>
      <c r="B532" s="64">
        <v>3</v>
      </c>
      <c r="C532" s="64">
        <v>12165</v>
      </c>
      <c r="D532" s="65" t="s">
        <v>66</v>
      </c>
      <c r="E532" s="64">
        <v>336</v>
      </c>
      <c r="F532" s="64">
        <v>343</v>
      </c>
      <c r="G532" s="56">
        <f t="shared" si="17"/>
        <v>0.97959183673469385</v>
      </c>
      <c r="H532" s="47" t="s">
        <v>40</v>
      </c>
      <c r="I532" s="47">
        <v>2025</v>
      </c>
    </row>
    <row r="533" spans="1:9" ht="13.8" x14ac:dyDescent="0.25">
      <c r="A533" s="47" t="str">
        <f t="shared" si="16"/>
        <v>11117Enero2025</v>
      </c>
      <c r="B533" s="64">
        <v>4</v>
      </c>
      <c r="C533" s="64">
        <v>11117</v>
      </c>
      <c r="D533" s="65" t="s">
        <v>15</v>
      </c>
      <c r="E533" s="64">
        <v>6159</v>
      </c>
      <c r="F533" s="64">
        <v>6507</v>
      </c>
      <c r="G533" s="56">
        <f t="shared" si="17"/>
        <v>0.94651913324112491</v>
      </c>
      <c r="H533" s="47" t="s">
        <v>40</v>
      </c>
      <c r="I533" s="47">
        <v>2025</v>
      </c>
    </row>
    <row r="534" spans="1:9" ht="13.8" x14ac:dyDescent="0.25">
      <c r="A534" s="47" t="str">
        <f t="shared" si="16"/>
        <v>10904Enero2025</v>
      </c>
      <c r="B534" s="64">
        <v>5</v>
      </c>
      <c r="C534" s="64">
        <v>10904</v>
      </c>
      <c r="D534" s="65" t="s">
        <v>29</v>
      </c>
      <c r="E534" s="64">
        <v>1137</v>
      </c>
      <c r="F534" s="64">
        <v>1210</v>
      </c>
      <c r="G534" s="56">
        <f t="shared" si="17"/>
        <v>0.93966942148760335</v>
      </c>
      <c r="H534" s="47" t="s">
        <v>40</v>
      </c>
      <c r="I534" s="47">
        <v>2025</v>
      </c>
    </row>
    <row r="535" spans="1:9" ht="13.8" x14ac:dyDescent="0.25">
      <c r="A535" s="47" t="str">
        <f t="shared" si="16"/>
        <v>241Enero2025</v>
      </c>
      <c r="B535" s="64">
        <v>6</v>
      </c>
      <c r="C535" s="64">
        <v>241</v>
      </c>
      <c r="D535" s="65" t="s">
        <v>30</v>
      </c>
      <c r="E535" s="64">
        <v>1565</v>
      </c>
      <c r="F535" s="64">
        <v>1660</v>
      </c>
      <c r="G535" s="56">
        <f t="shared" si="17"/>
        <v>0.94277108433734935</v>
      </c>
      <c r="H535" s="47" t="s">
        <v>40</v>
      </c>
      <c r="I535" s="47">
        <v>2025</v>
      </c>
    </row>
    <row r="536" spans="1:9" ht="13.8" x14ac:dyDescent="0.25">
      <c r="A536" s="47" t="str">
        <f t="shared" si="16"/>
        <v>11882Enero2025</v>
      </c>
      <c r="B536" s="64">
        <v>7</v>
      </c>
      <c r="C536" s="64">
        <v>11882</v>
      </c>
      <c r="D536" s="65" t="s">
        <v>22</v>
      </c>
      <c r="E536" s="64">
        <v>789</v>
      </c>
      <c r="F536" s="64">
        <v>846</v>
      </c>
      <c r="G536" s="56">
        <f t="shared" si="17"/>
        <v>0.93262411347517726</v>
      </c>
      <c r="H536" s="47" t="s">
        <v>40</v>
      </c>
      <c r="I536" s="47">
        <v>2025</v>
      </c>
    </row>
    <row r="537" spans="1:9" ht="13.8" x14ac:dyDescent="0.25">
      <c r="A537" s="47" t="str">
        <f t="shared" si="16"/>
        <v>240Enero2025</v>
      </c>
      <c r="B537" s="64">
        <v>8</v>
      </c>
      <c r="C537" s="64">
        <v>240</v>
      </c>
      <c r="D537" s="65" t="s">
        <v>23</v>
      </c>
      <c r="E537" s="64">
        <v>2642</v>
      </c>
      <c r="F537" s="64">
        <v>2854</v>
      </c>
      <c r="G537" s="56">
        <f t="shared" si="17"/>
        <v>0.92571829011913109</v>
      </c>
      <c r="H537" s="47" t="s">
        <v>40</v>
      </c>
      <c r="I537" s="47">
        <v>2025</v>
      </c>
    </row>
    <row r="538" spans="1:9" ht="13.8" x14ac:dyDescent="0.25">
      <c r="A538" s="47" t="str">
        <f t="shared" si="16"/>
        <v>234Enero2025</v>
      </c>
      <c r="B538" s="64">
        <v>9</v>
      </c>
      <c r="C538" s="64">
        <v>234</v>
      </c>
      <c r="D538" s="65" t="s">
        <v>18</v>
      </c>
      <c r="E538" s="64">
        <v>3430</v>
      </c>
      <c r="F538" s="64">
        <v>3720</v>
      </c>
      <c r="G538" s="56">
        <f t="shared" si="17"/>
        <v>0.92204301075268813</v>
      </c>
      <c r="H538" s="47" t="s">
        <v>40</v>
      </c>
      <c r="I538" s="47">
        <v>2025</v>
      </c>
    </row>
    <row r="539" spans="1:9" ht="13.8" x14ac:dyDescent="0.25">
      <c r="A539" s="47" t="str">
        <f t="shared" si="16"/>
        <v>11931Enero2025</v>
      </c>
      <c r="B539" s="64">
        <v>10</v>
      </c>
      <c r="C539" s="64">
        <v>11931</v>
      </c>
      <c r="D539" s="65" t="s">
        <v>39</v>
      </c>
      <c r="E539" s="64">
        <v>1899</v>
      </c>
      <c r="F539" s="64">
        <v>2065</v>
      </c>
      <c r="G539" s="56">
        <f t="shared" si="17"/>
        <v>0.91961259079903146</v>
      </c>
      <c r="H539" s="47" t="s">
        <v>40</v>
      </c>
      <c r="I539" s="47">
        <v>2025</v>
      </c>
    </row>
    <row r="540" spans="1:9" ht="13.8" x14ac:dyDescent="0.25">
      <c r="A540" s="47" t="str">
        <f t="shared" si="16"/>
        <v>10951Enero2025</v>
      </c>
      <c r="B540" s="64">
        <v>11</v>
      </c>
      <c r="C540" s="64">
        <v>10951</v>
      </c>
      <c r="D540" s="65" t="s">
        <v>24</v>
      </c>
      <c r="E540" s="64">
        <v>1763</v>
      </c>
      <c r="F540" s="64">
        <v>1950</v>
      </c>
      <c r="G540" s="56">
        <f t="shared" si="17"/>
        <v>0.90410256410256407</v>
      </c>
      <c r="H540" s="47" t="s">
        <v>40</v>
      </c>
      <c r="I540" s="47">
        <v>2025</v>
      </c>
    </row>
    <row r="541" spans="1:9" ht="13.8" x14ac:dyDescent="0.25">
      <c r="A541" s="47" t="str">
        <f t="shared" si="16"/>
        <v>1557Enero2025</v>
      </c>
      <c r="B541" s="64">
        <v>12</v>
      </c>
      <c r="C541" s="64">
        <v>1557</v>
      </c>
      <c r="D541" s="65" t="s">
        <v>12</v>
      </c>
      <c r="E541" s="64">
        <v>1256</v>
      </c>
      <c r="F541" s="64">
        <v>1405</v>
      </c>
      <c r="G541" s="56">
        <f t="shared" si="17"/>
        <v>0.89395017793594311</v>
      </c>
      <c r="H541" s="47" t="s">
        <v>40</v>
      </c>
      <c r="I541" s="47">
        <v>2025</v>
      </c>
    </row>
    <row r="542" spans="1:9" ht="13.8" x14ac:dyDescent="0.25">
      <c r="A542" s="47" t="str">
        <f t="shared" si="16"/>
        <v>235Enero2025</v>
      </c>
      <c r="B542" s="64">
        <v>13</v>
      </c>
      <c r="C542" s="64">
        <v>235</v>
      </c>
      <c r="D542" s="65" t="s">
        <v>33</v>
      </c>
      <c r="E542" s="64">
        <v>2812</v>
      </c>
      <c r="F542" s="64">
        <v>3165</v>
      </c>
      <c r="G542" s="56">
        <f t="shared" si="17"/>
        <v>0.88846761453396528</v>
      </c>
      <c r="H542" s="47" t="s">
        <v>40</v>
      </c>
      <c r="I542" s="47">
        <v>2025</v>
      </c>
    </row>
    <row r="543" spans="1:9" ht="13.8" x14ac:dyDescent="0.25">
      <c r="A543" s="47" t="str">
        <f t="shared" si="16"/>
        <v>11116Enero2025</v>
      </c>
      <c r="B543" s="64">
        <v>14</v>
      </c>
      <c r="C543" s="64">
        <v>11116</v>
      </c>
      <c r="D543" s="65" t="s">
        <v>28</v>
      </c>
      <c r="E543" s="64">
        <v>6531</v>
      </c>
      <c r="F543" s="64">
        <v>7390</v>
      </c>
      <c r="G543" s="56">
        <f t="shared" si="17"/>
        <v>0.88376184032476324</v>
      </c>
      <c r="H543" s="47" t="s">
        <v>40</v>
      </c>
      <c r="I543" s="47">
        <v>2025</v>
      </c>
    </row>
    <row r="544" spans="1:9" ht="13.8" x14ac:dyDescent="0.25">
      <c r="A544" s="47" t="str">
        <f t="shared" si="16"/>
        <v>236Enero2025</v>
      </c>
      <c r="B544" s="64">
        <v>15</v>
      </c>
      <c r="C544" s="64">
        <v>236</v>
      </c>
      <c r="D544" s="65" t="s">
        <v>25</v>
      </c>
      <c r="E544" s="64">
        <v>3236</v>
      </c>
      <c r="F544" s="64">
        <v>3691</v>
      </c>
      <c r="G544" s="56">
        <f t="shared" si="17"/>
        <v>0.87672717420753188</v>
      </c>
      <c r="H544" s="47" t="s">
        <v>40</v>
      </c>
      <c r="I544" s="47">
        <v>2025</v>
      </c>
    </row>
    <row r="545" spans="1:9" ht="13.8" x14ac:dyDescent="0.25">
      <c r="A545" s="47" t="str">
        <f t="shared" si="16"/>
        <v>238Enero2025</v>
      </c>
      <c r="B545" s="64">
        <v>16</v>
      </c>
      <c r="C545" s="64">
        <v>238</v>
      </c>
      <c r="D545" s="65" t="s">
        <v>35</v>
      </c>
      <c r="E545" s="64">
        <v>1787</v>
      </c>
      <c r="F545" s="64">
        <v>2110</v>
      </c>
      <c r="G545" s="56">
        <f t="shared" si="17"/>
        <v>0.84691943127962088</v>
      </c>
      <c r="H545" s="47" t="s">
        <v>40</v>
      </c>
      <c r="I545" s="47">
        <v>2025</v>
      </c>
    </row>
    <row r="546" spans="1:9" ht="13.8" x14ac:dyDescent="0.25">
      <c r="A546" s="47" t="str">
        <f t="shared" ref="A546:A609" si="18">C546&amp;H546&amp;I546</f>
        <v>12166Enero2025</v>
      </c>
      <c r="B546" s="64">
        <v>17</v>
      </c>
      <c r="C546" s="64">
        <v>12166</v>
      </c>
      <c r="D546" s="65" t="s">
        <v>65</v>
      </c>
      <c r="E546" s="64">
        <v>1285</v>
      </c>
      <c r="F546" s="64">
        <v>1572</v>
      </c>
      <c r="G546" s="56">
        <f t="shared" si="17"/>
        <v>0.81743002544529264</v>
      </c>
      <c r="H546" s="47" t="s">
        <v>40</v>
      </c>
      <c r="I546" s="47">
        <v>2025</v>
      </c>
    </row>
    <row r="547" spans="1:9" ht="13.8" x14ac:dyDescent="0.25">
      <c r="A547" s="47" t="str">
        <f t="shared" si="18"/>
        <v>242Enero2025</v>
      </c>
      <c r="B547" s="64">
        <v>18</v>
      </c>
      <c r="C547" s="64">
        <v>242</v>
      </c>
      <c r="D547" s="65" t="s">
        <v>7</v>
      </c>
      <c r="E547" s="64">
        <v>1022</v>
      </c>
      <c r="F547" s="64">
        <v>1344</v>
      </c>
      <c r="G547" s="56">
        <f t="shared" si="17"/>
        <v>0.76041666666666663</v>
      </c>
      <c r="H547" s="47" t="s">
        <v>40</v>
      </c>
      <c r="I547" s="47">
        <v>2025</v>
      </c>
    </row>
    <row r="548" spans="1:9" ht="13.8" x14ac:dyDescent="0.25">
      <c r="A548" s="47" t="str">
        <f t="shared" si="18"/>
        <v>239Enero2025</v>
      </c>
      <c r="B548" s="64">
        <v>19</v>
      </c>
      <c r="C548" s="64">
        <v>239</v>
      </c>
      <c r="D548" s="65" t="s">
        <v>32</v>
      </c>
      <c r="E548" s="64">
        <v>2425</v>
      </c>
      <c r="F548" s="64">
        <v>3390</v>
      </c>
      <c r="G548" s="56">
        <f t="shared" si="17"/>
        <v>0.71533923303834812</v>
      </c>
      <c r="H548" s="47" t="s">
        <v>40</v>
      </c>
      <c r="I548" s="47">
        <v>2025</v>
      </c>
    </row>
    <row r="549" spans="1:9" ht="13.8" x14ac:dyDescent="0.25">
      <c r="A549" s="47" t="str">
        <f t="shared" si="18"/>
        <v>28745Enero2025</v>
      </c>
      <c r="B549" s="64">
        <v>20</v>
      </c>
      <c r="C549" s="64">
        <v>28745</v>
      </c>
      <c r="D549" s="65" t="s">
        <v>6</v>
      </c>
      <c r="E549" s="64">
        <v>306</v>
      </c>
      <c r="F549" s="64">
        <v>464</v>
      </c>
      <c r="G549" s="56">
        <f t="shared" si="17"/>
        <v>0.65948275862068961</v>
      </c>
      <c r="H549" s="47" t="s">
        <v>40</v>
      </c>
      <c r="I549" s="47">
        <v>2025</v>
      </c>
    </row>
    <row r="550" spans="1:9" ht="13.8" x14ac:dyDescent="0.25">
      <c r="A550" s="47" t="str">
        <f t="shared" si="18"/>
        <v>243Enero2025</v>
      </c>
      <c r="B550" s="64">
        <v>21</v>
      </c>
      <c r="C550" s="64">
        <v>243</v>
      </c>
      <c r="D550" s="65" t="s">
        <v>34</v>
      </c>
      <c r="E550" s="64">
        <v>1793</v>
      </c>
      <c r="F550" s="64">
        <v>2950</v>
      </c>
      <c r="G550" s="56">
        <f t="shared" si="17"/>
        <v>0.60779661016949149</v>
      </c>
      <c r="H550" s="47" t="s">
        <v>40</v>
      </c>
      <c r="I550" s="47">
        <v>2025</v>
      </c>
    </row>
    <row r="551" spans="1:9" ht="13.8" x14ac:dyDescent="0.25">
      <c r="A551" s="47" t="str">
        <f t="shared" si="18"/>
        <v>237Enero2025</v>
      </c>
      <c r="B551" s="64">
        <v>22</v>
      </c>
      <c r="C551" s="64">
        <v>237</v>
      </c>
      <c r="D551" s="65" t="s">
        <v>31</v>
      </c>
      <c r="E551" s="64">
        <v>2503</v>
      </c>
      <c r="F551" s="64">
        <v>5097</v>
      </c>
      <c r="G551" s="56">
        <f t="shared" si="17"/>
        <v>0.49107318030213853</v>
      </c>
      <c r="H551" s="47" t="s">
        <v>40</v>
      </c>
      <c r="I551" s="47">
        <v>2025</v>
      </c>
    </row>
    <row r="552" spans="1:9" ht="13.8" x14ac:dyDescent="0.25">
      <c r="A552" s="47" t="str">
        <f t="shared" si="18"/>
        <v>12163Enero2025</v>
      </c>
      <c r="B552" s="64">
        <v>23</v>
      </c>
      <c r="C552" s="64">
        <v>12163</v>
      </c>
      <c r="D552" s="65" t="s">
        <v>67</v>
      </c>
      <c r="E552" s="64">
        <v>507</v>
      </c>
      <c r="F552" s="64">
        <v>1092</v>
      </c>
      <c r="G552" s="56">
        <f t="shared" si="17"/>
        <v>0.4642857142857143</v>
      </c>
      <c r="H552" s="47" t="s">
        <v>40</v>
      </c>
      <c r="I552" s="47">
        <v>2025</v>
      </c>
    </row>
    <row r="553" spans="1:9" x14ac:dyDescent="0.2">
      <c r="A553" s="47" t="str">
        <f t="shared" si="18"/>
        <v>246Febrero2025</v>
      </c>
      <c r="B553" s="47">
        <v>1</v>
      </c>
      <c r="C553" s="47">
        <v>246</v>
      </c>
      <c r="D553" s="47" t="s">
        <v>9</v>
      </c>
      <c r="E553" s="48">
        <v>4457</v>
      </c>
      <c r="F553" s="48">
        <v>4502</v>
      </c>
      <c r="G553" s="56">
        <f t="shared" si="17"/>
        <v>0.99000444247001329</v>
      </c>
      <c r="H553" s="47" t="s">
        <v>41</v>
      </c>
      <c r="I553" s="47">
        <v>2025</v>
      </c>
    </row>
    <row r="554" spans="1:9" x14ac:dyDescent="0.2">
      <c r="A554" s="47" t="str">
        <f t="shared" si="18"/>
        <v>11799Febrero2025</v>
      </c>
      <c r="B554" s="47">
        <v>2</v>
      </c>
      <c r="C554" s="47">
        <v>11799</v>
      </c>
      <c r="D554" s="47" t="s">
        <v>21</v>
      </c>
      <c r="E554" s="48">
        <v>3485</v>
      </c>
      <c r="F554" s="48">
        <v>3570</v>
      </c>
      <c r="G554" s="56">
        <f t="shared" si="17"/>
        <v>0.97619047619047616</v>
      </c>
      <c r="H554" s="47" t="s">
        <v>41</v>
      </c>
      <c r="I554" s="47">
        <v>2025</v>
      </c>
    </row>
    <row r="555" spans="1:9" x14ac:dyDescent="0.2">
      <c r="A555" s="47" t="str">
        <f t="shared" si="18"/>
        <v>11117Febrero2025</v>
      </c>
      <c r="B555" s="47">
        <v>3</v>
      </c>
      <c r="C555" s="47">
        <v>11117</v>
      </c>
      <c r="D555" s="47" t="s">
        <v>15</v>
      </c>
      <c r="E555" s="48">
        <v>12015</v>
      </c>
      <c r="F555" s="48">
        <v>12539</v>
      </c>
      <c r="G555" s="56">
        <f t="shared" si="17"/>
        <v>0.95821038360315813</v>
      </c>
      <c r="H555" s="47" t="s">
        <v>41</v>
      </c>
      <c r="I555" s="47">
        <v>2025</v>
      </c>
    </row>
    <row r="556" spans="1:9" x14ac:dyDescent="0.2">
      <c r="A556" s="47" t="str">
        <f t="shared" si="18"/>
        <v>11882Febrero2025</v>
      </c>
      <c r="B556" s="47">
        <v>4</v>
      </c>
      <c r="C556" s="47">
        <v>11882</v>
      </c>
      <c r="D556" s="47" t="s">
        <v>22</v>
      </c>
      <c r="E556" s="48">
        <v>1496</v>
      </c>
      <c r="F556" s="48">
        <v>1557</v>
      </c>
      <c r="G556" s="56">
        <f t="shared" si="17"/>
        <v>0.96082209377007066</v>
      </c>
      <c r="H556" s="47" t="s">
        <v>41</v>
      </c>
      <c r="I556" s="47">
        <v>2025</v>
      </c>
    </row>
    <row r="557" spans="1:9" x14ac:dyDescent="0.2">
      <c r="A557" s="47" t="str">
        <f t="shared" si="18"/>
        <v>12165Febrero2025</v>
      </c>
      <c r="B557" s="47">
        <v>5</v>
      </c>
      <c r="C557" s="47">
        <v>12165</v>
      </c>
      <c r="D557" s="47" t="s">
        <v>66</v>
      </c>
      <c r="E557" s="48">
        <v>1211</v>
      </c>
      <c r="F557" s="48">
        <v>1266</v>
      </c>
      <c r="G557" s="56">
        <f t="shared" si="17"/>
        <v>0.95655608214849919</v>
      </c>
      <c r="H557" s="47" t="s">
        <v>41</v>
      </c>
      <c r="I557" s="47">
        <v>2025</v>
      </c>
    </row>
    <row r="558" spans="1:9" x14ac:dyDescent="0.2">
      <c r="A558" s="47" t="str">
        <f t="shared" si="18"/>
        <v>10904Febrero2025</v>
      </c>
      <c r="B558" s="47">
        <v>6</v>
      </c>
      <c r="C558" s="47">
        <v>10904</v>
      </c>
      <c r="D558" s="47" t="s">
        <v>29</v>
      </c>
      <c r="E558" s="48">
        <v>2620</v>
      </c>
      <c r="F558" s="48">
        <v>2801</v>
      </c>
      <c r="G558" s="56">
        <f t="shared" si="17"/>
        <v>0.93538022134951804</v>
      </c>
      <c r="H558" s="47" t="s">
        <v>41</v>
      </c>
      <c r="I558" s="47">
        <v>2025</v>
      </c>
    </row>
    <row r="559" spans="1:9" x14ac:dyDescent="0.2">
      <c r="A559" s="47" t="str">
        <f t="shared" si="18"/>
        <v>240Febrero2025</v>
      </c>
      <c r="B559" s="47">
        <v>7</v>
      </c>
      <c r="C559" s="47">
        <v>240</v>
      </c>
      <c r="D559" s="47" t="s">
        <v>23</v>
      </c>
      <c r="E559" s="48">
        <v>5152</v>
      </c>
      <c r="F559" s="48">
        <v>5525</v>
      </c>
      <c r="G559" s="56">
        <f t="shared" si="17"/>
        <v>0.93248868778280547</v>
      </c>
      <c r="H559" s="47" t="s">
        <v>41</v>
      </c>
      <c r="I559" s="47">
        <v>2025</v>
      </c>
    </row>
    <row r="560" spans="1:9" x14ac:dyDescent="0.2">
      <c r="A560" s="47" t="str">
        <f t="shared" si="18"/>
        <v>235Febrero2025</v>
      </c>
      <c r="B560" s="47">
        <v>8</v>
      </c>
      <c r="C560" s="47">
        <v>235</v>
      </c>
      <c r="D560" s="47" t="s">
        <v>33</v>
      </c>
      <c r="E560" s="48">
        <v>4670</v>
      </c>
      <c r="F560" s="48">
        <v>5158</v>
      </c>
      <c r="G560" s="56">
        <f t="shared" si="17"/>
        <v>0.90538968592477709</v>
      </c>
      <c r="H560" s="47" t="s">
        <v>41</v>
      </c>
      <c r="I560" s="47">
        <v>2025</v>
      </c>
    </row>
    <row r="561" spans="1:9" x14ac:dyDescent="0.2">
      <c r="A561" s="47" t="str">
        <f t="shared" si="18"/>
        <v>241Febrero2025</v>
      </c>
      <c r="B561" s="47">
        <v>9</v>
      </c>
      <c r="C561" s="47">
        <v>241</v>
      </c>
      <c r="D561" s="47" t="s">
        <v>30</v>
      </c>
      <c r="E561" s="48">
        <v>2544</v>
      </c>
      <c r="F561" s="48">
        <v>2786</v>
      </c>
      <c r="G561" s="56">
        <f t="shared" si="17"/>
        <v>0.91313711414213927</v>
      </c>
      <c r="H561" s="47" t="s">
        <v>41</v>
      </c>
      <c r="I561" s="47">
        <v>2025</v>
      </c>
    </row>
    <row r="562" spans="1:9" x14ac:dyDescent="0.2">
      <c r="A562" s="47" t="str">
        <f t="shared" si="18"/>
        <v>11931Febrero2025</v>
      </c>
      <c r="B562" s="47">
        <v>10</v>
      </c>
      <c r="C562" s="47">
        <v>11931</v>
      </c>
      <c r="D562" s="47" t="s">
        <v>39</v>
      </c>
      <c r="E562" s="48">
        <v>3619</v>
      </c>
      <c r="F562" s="48">
        <v>3966</v>
      </c>
      <c r="G562" s="56">
        <f t="shared" si="17"/>
        <v>0.91250630358043372</v>
      </c>
      <c r="H562" s="47" t="s">
        <v>41</v>
      </c>
      <c r="I562" s="47">
        <v>2025</v>
      </c>
    </row>
    <row r="563" spans="1:9" x14ac:dyDescent="0.2">
      <c r="A563" s="47" t="str">
        <f t="shared" si="18"/>
        <v>234Febrero2025</v>
      </c>
      <c r="B563" s="47">
        <v>11</v>
      </c>
      <c r="C563" s="47">
        <v>234</v>
      </c>
      <c r="D563" s="47" t="s">
        <v>18</v>
      </c>
      <c r="E563" s="48">
        <v>4396</v>
      </c>
      <c r="F563" s="48">
        <v>4872</v>
      </c>
      <c r="G563" s="56">
        <f t="shared" si="17"/>
        <v>0.9022988505747126</v>
      </c>
      <c r="H563" s="47" t="s">
        <v>41</v>
      </c>
      <c r="I563" s="47">
        <v>2025</v>
      </c>
    </row>
    <row r="564" spans="1:9" x14ac:dyDescent="0.2">
      <c r="A564" s="47" t="str">
        <f t="shared" si="18"/>
        <v>10951Febrero2025</v>
      </c>
      <c r="B564" s="47">
        <v>12</v>
      </c>
      <c r="C564" s="47">
        <v>10951</v>
      </c>
      <c r="D564" s="47" t="s">
        <v>24</v>
      </c>
      <c r="E564" s="48">
        <v>3078</v>
      </c>
      <c r="F564" s="48">
        <v>3456</v>
      </c>
      <c r="G564" s="56">
        <f t="shared" si="17"/>
        <v>0.890625</v>
      </c>
      <c r="H564" s="47" t="s">
        <v>41</v>
      </c>
      <c r="I564" s="47">
        <v>2025</v>
      </c>
    </row>
    <row r="565" spans="1:9" x14ac:dyDescent="0.2">
      <c r="A565" s="47" t="str">
        <f t="shared" si="18"/>
        <v>11116Febrero2025</v>
      </c>
      <c r="B565" s="47">
        <v>13</v>
      </c>
      <c r="C565" s="47">
        <v>11116</v>
      </c>
      <c r="D565" s="47" t="s">
        <v>28</v>
      </c>
      <c r="E565" s="48">
        <v>13432</v>
      </c>
      <c r="F565" s="48">
        <v>15090</v>
      </c>
      <c r="G565" s="56">
        <f t="shared" si="17"/>
        <v>0.89012591119946982</v>
      </c>
      <c r="H565" s="47" t="s">
        <v>41</v>
      </c>
      <c r="I565" s="47">
        <v>2025</v>
      </c>
    </row>
    <row r="566" spans="1:9" x14ac:dyDescent="0.2">
      <c r="A566" s="47" t="str">
        <f t="shared" si="18"/>
        <v>238Febrero2025</v>
      </c>
      <c r="B566" s="47">
        <v>14</v>
      </c>
      <c r="C566" s="47">
        <v>238</v>
      </c>
      <c r="D566" s="47" t="s">
        <v>35</v>
      </c>
      <c r="E566" s="48">
        <v>3018</v>
      </c>
      <c r="F566" s="48">
        <v>3657</v>
      </c>
      <c r="G566" s="56">
        <f t="shared" si="17"/>
        <v>0.82526661197703033</v>
      </c>
      <c r="H566" s="47" t="s">
        <v>41</v>
      </c>
      <c r="I566" s="47">
        <v>2025</v>
      </c>
    </row>
    <row r="567" spans="1:9" x14ac:dyDescent="0.2">
      <c r="A567" s="47" t="str">
        <f t="shared" si="18"/>
        <v>242Febrero2025</v>
      </c>
      <c r="B567" s="47">
        <v>15</v>
      </c>
      <c r="C567" s="47">
        <v>242</v>
      </c>
      <c r="D567" s="47" t="s">
        <v>7</v>
      </c>
      <c r="E567" s="48">
        <v>2824</v>
      </c>
      <c r="F567" s="48">
        <v>3397</v>
      </c>
      <c r="G567" s="56">
        <f t="shared" si="17"/>
        <v>0.83132175448925527</v>
      </c>
      <c r="H567" s="47" t="s">
        <v>41</v>
      </c>
      <c r="I567" s="47">
        <v>2025</v>
      </c>
    </row>
    <row r="568" spans="1:9" x14ac:dyDescent="0.2">
      <c r="A568" s="47" t="str">
        <f t="shared" si="18"/>
        <v>12166Febrero2025</v>
      </c>
      <c r="B568" s="47">
        <v>16</v>
      </c>
      <c r="C568" s="47">
        <v>12166</v>
      </c>
      <c r="D568" s="47" t="s">
        <v>65</v>
      </c>
      <c r="E568" s="48">
        <v>2540</v>
      </c>
      <c r="F568" s="48">
        <v>3080</v>
      </c>
      <c r="G568" s="56">
        <f t="shared" si="17"/>
        <v>0.82467532467532467</v>
      </c>
      <c r="H568" s="47" t="s">
        <v>41</v>
      </c>
      <c r="I568" s="47">
        <v>2025</v>
      </c>
    </row>
    <row r="569" spans="1:9" x14ac:dyDescent="0.2">
      <c r="A569" s="47" t="str">
        <f t="shared" si="18"/>
        <v>236Febrero2025</v>
      </c>
      <c r="B569" s="47">
        <v>17</v>
      </c>
      <c r="C569" s="47">
        <v>236</v>
      </c>
      <c r="D569" s="47" t="s">
        <v>25</v>
      </c>
      <c r="E569" s="48">
        <v>5962</v>
      </c>
      <c r="F569" s="48">
        <v>7235</v>
      </c>
      <c r="G569" s="56">
        <f t="shared" si="17"/>
        <v>0.82404975812024883</v>
      </c>
      <c r="H569" s="47" t="s">
        <v>41</v>
      </c>
      <c r="I569" s="47">
        <v>2025</v>
      </c>
    </row>
    <row r="570" spans="1:9" x14ac:dyDescent="0.2">
      <c r="A570" s="47" t="str">
        <f t="shared" si="18"/>
        <v>239Febrero2025</v>
      </c>
      <c r="B570" s="47">
        <v>18</v>
      </c>
      <c r="C570" s="47">
        <v>239</v>
      </c>
      <c r="D570" s="47" t="s">
        <v>32</v>
      </c>
      <c r="E570" s="48">
        <v>5607</v>
      </c>
      <c r="F570" s="48">
        <v>6811</v>
      </c>
      <c r="G570" s="56">
        <f t="shared" si="17"/>
        <v>0.82322713257965052</v>
      </c>
      <c r="H570" s="47" t="s">
        <v>41</v>
      </c>
      <c r="I570" s="47">
        <v>2025</v>
      </c>
    </row>
    <row r="571" spans="1:9" x14ac:dyDescent="0.2">
      <c r="A571" s="47" t="str">
        <f t="shared" si="18"/>
        <v>28745Febrero2025</v>
      </c>
      <c r="B571" s="47">
        <v>19</v>
      </c>
      <c r="C571" s="47">
        <v>28745</v>
      </c>
      <c r="D571" s="47" t="s">
        <v>6</v>
      </c>
      <c r="E571" s="48">
        <v>695</v>
      </c>
      <c r="F571" s="48">
        <v>883</v>
      </c>
      <c r="G571" s="56">
        <f t="shared" si="17"/>
        <v>0.78708946772366928</v>
      </c>
      <c r="H571" s="47" t="s">
        <v>41</v>
      </c>
      <c r="I571" s="47">
        <v>2025</v>
      </c>
    </row>
    <row r="572" spans="1:9" x14ac:dyDescent="0.2">
      <c r="A572" s="47" t="str">
        <f t="shared" si="18"/>
        <v>1557Febrero2025</v>
      </c>
      <c r="B572" s="47">
        <v>20</v>
      </c>
      <c r="C572" s="47">
        <v>1557</v>
      </c>
      <c r="D572" s="47" t="s">
        <v>12</v>
      </c>
      <c r="E572" s="48">
        <v>1614</v>
      </c>
      <c r="F572" s="48">
        <v>2080</v>
      </c>
      <c r="G572" s="56">
        <f t="shared" ref="G572:G635" si="19">E572/F572</f>
        <v>0.77596153846153848</v>
      </c>
      <c r="H572" s="47" t="s">
        <v>41</v>
      </c>
      <c r="I572" s="47">
        <v>2025</v>
      </c>
    </row>
    <row r="573" spans="1:9" x14ac:dyDescent="0.2">
      <c r="A573" s="47" t="str">
        <f t="shared" si="18"/>
        <v>12163Febrero2025</v>
      </c>
      <c r="B573" s="47">
        <v>21</v>
      </c>
      <c r="C573" s="47">
        <v>12163</v>
      </c>
      <c r="D573" s="47" t="s">
        <v>67</v>
      </c>
      <c r="E573" s="48">
        <v>1604</v>
      </c>
      <c r="F573" s="48">
        <v>2303</v>
      </c>
      <c r="G573" s="56">
        <f t="shared" si="19"/>
        <v>0.69648284845853237</v>
      </c>
      <c r="H573" s="47" t="s">
        <v>41</v>
      </c>
      <c r="I573" s="47">
        <v>2025</v>
      </c>
    </row>
    <row r="574" spans="1:9" x14ac:dyDescent="0.2">
      <c r="A574" s="47" t="str">
        <f t="shared" si="18"/>
        <v>243Febrero2025</v>
      </c>
      <c r="B574" s="47">
        <v>22</v>
      </c>
      <c r="C574" s="47">
        <v>243</v>
      </c>
      <c r="D574" s="47" t="s">
        <v>34</v>
      </c>
      <c r="E574" s="48">
        <v>3798</v>
      </c>
      <c r="F574" s="48">
        <v>5897</v>
      </c>
      <c r="G574" s="56">
        <f t="shared" si="19"/>
        <v>0.64405629981346446</v>
      </c>
      <c r="H574" s="47" t="s">
        <v>41</v>
      </c>
      <c r="I574" s="47">
        <v>2025</v>
      </c>
    </row>
    <row r="575" spans="1:9" x14ac:dyDescent="0.2">
      <c r="A575" s="47" t="str">
        <f t="shared" si="18"/>
        <v>237Febrero2025</v>
      </c>
      <c r="B575" s="47">
        <v>23</v>
      </c>
      <c r="C575" s="47">
        <v>237</v>
      </c>
      <c r="D575" s="47" t="s">
        <v>31</v>
      </c>
      <c r="E575" s="48">
        <v>5599</v>
      </c>
      <c r="F575" s="48">
        <v>10994</v>
      </c>
      <c r="G575" s="56">
        <f t="shared" si="19"/>
        <v>0.50927778788430056</v>
      </c>
      <c r="H575" s="47" t="s">
        <v>41</v>
      </c>
      <c r="I575" s="47">
        <v>2025</v>
      </c>
    </row>
    <row r="576" spans="1:9" x14ac:dyDescent="0.2">
      <c r="A576" s="47" t="str">
        <f t="shared" si="18"/>
        <v>11799Marzo2025</v>
      </c>
      <c r="B576" s="47">
        <v>1</v>
      </c>
      <c r="C576" s="47">
        <v>11799</v>
      </c>
      <c r="D576" s="47" t="s">
        <v>21</v>
      </c>
      <c r="E576" s="48">
        <v>4851</v>
      </c>
      <c r="F576" s="48">
        <v>5022</v>
      </c>
      <c r="G576" s="56">
        <f t="shared" si="19"/>
        <v>0.96594982078853042</v>
      </c>
      <c r="H576" s="47" t="s">
        <v>42</v>
      </c>
      <c r="I576" s="47">
        <v>2025</v>
      </c>
    </row>
    <row r="577" spans="1:9" x14ac:dyDescent="0.2">
      <c r="A577" s="47" t="str">
        <f t="shared" si="18"/>
        <v>11117Marzo2025</v>
      </c>
      <c r="B577" s="47">
        <v>2</v>
      </c>
      <c r="C577" s="47">
        <v>11117</v>
      </c>
      <c r="D577" s="47" t="s">
        <v>15</v>
      </c>
      <c r="E577" s="48">
        <v>18120</v>
      </c>
      <c r="F577" s="48">
        <v>18900</v>
      </c>
      <c r="G577" s="56">
        <f t="shared" si="19"/>
        <v>0.95873015873015877</v>
      </c>
      <c r="H577" s="47" t="s">
        <v>42</v>
      </c>
      <c r="I577" s="47">
        <v>2025</v>
      </c>
    </row>
    <row r="578" spans="1:9" x14ac:dyDescent="0.2">
      <c r="A578" s="47" t="str">
        <f t="shared" si="18"/>
        <v>11882Marzo2025</v>
      </c>
      <c r="B578" s="47">
        <v>3</v>
      </c>
      <c r="C578" s="47">
        <v>11882</v>
      </c>
      <c r="D578" s="47" t="s">
        <v>22</v>
      </c>
      <c r="E578" s="48">
        <v>2319</v>
      </c>
      <c r="F578" s="48">
        <v>2417</v>
      </c>
      <c r="G578" s="56">
        <f t="shared" si="19"/>
        <v>0.95945386843194047</v>
      </c>
      <c r="H578" s="47" t="s">
        <v>42</v>
      </c>
      <c r="I578" s="47">
        <v>2025</v>
      </c>
    </row>
    <row r="579" spans="1:9" x14ac:dyDescent="0.2">
      <c r="A579" s="47" t="str">
        <f t="shared" si="18"/>
        <v>12165Marzo2025</v>
      </c>
      <c r="B579" s="47">
        <v>4</v>
      </c>
      <c r="C579" s="47">
        <v>12165</v>
      </c>
      <c r="D579" s="47" t="s">
        <v>66</v>
      </c>
      <c r="E579" s="48">
        <v>1899</v>
      </c>
      <c r="F579" s="48">
        <v>1985</v>
      </c>
      <c r="G579" s="56">
        <f t="shared" si="19"/>
        <v>0.95667506297229221</v>
      </c>
      <c r="H579" s="47" t="s">
        <v>42</v>
      </c>
      <c r="I579" s="47">
        <v>2025</v>
      </c>
    </row>
    <row r="580" spans="1:9" x14ac:dyDescent="0.2">
      <c r="A580" s="47" t="str">
        <f t="shared" si="18"/>
        <v>10904Marzo2025</v>
      </c>
      <c r="B580" s="47">
        <v>5</v>
      </c>
      <c r="C580" s="47">
        <v>10904</v>
      </c>
      <c r="D580" s="47" t="s">
        <v>29</v>
      </c>
      <c r="E580" s="48">
        <v>3932</v>
      </c>
      <c r="F580" s="48">
        <v>4186</v>
      </c>
      <c r="G580" s="56">
        <f t="shared" si="19"/>
        <v>0.93932154801720014</v>
      </c>
      <c r="H580" s="47" t="s">
        <v>42</v>
      </c>
      <c r="I580" s="47">
        <v>2025</v>
      </c>
    </row>
    <row r="581" spans="1:9" x14ac:dyDescent="0.2">
      <c r="A581" s="47" t="str">
        <f t="shared" si="18"/>
        <v>240Marzo2025</v>
      </c>
      <c r="B581" s="47">
        <v>6</v>
      </c>
      <c r="C581" s="47">
        <v>240</v>
      </c>
      <c r="D581" s="47" t="s">
        <v>23</v>
      </c>
      <c r="E581" s="48">
        <v>7857</v>
      </c>
      <c r="F581" s="48">
        <v>8436</v>
      </c>
      <c r="G581" s="56">
        <f t="shared" si="19"/>
        <v>0.93136557610241821</v>
      </c>
      <c r="H581" s="47" t="s">
        <v>42</v>
      </c>
      <c r="I581" s="47">
        <v>2025</v>
      </c>
    </row>
    <row r="582" spans="1:9" x14ac:dyDescent="0.2">
      <c r="A582" s="47" t="str">
        <f t="shared" si="18"/>
        <v>235Marzo2025</v>
      </c>
      <c r="B582" s="47">
        <v>7</v>
      </c>
      <c r="C582" s="47">
        <v>235</v>
      </c>
      <c r="D582" s="47" t="s">
        <v>33</v>
      </c>
      <c r="E582" s="48">
        <v>6672</v>
      </c>
      <c r="F582" s="48">
        <v>7284</v>
      </c>
      <c r="G582" s="56">
        <f t="shared" si="19"/>
        <v>0.91598023064250411</v>
      </c>
      <c r="H582" s="47" t="s">
        <v>42</v>
      </c>
      <c r="I582" s="47">
        <v>2025</v>
      </c>
    </row>
    <row r="583" spans="1:9" x14ac:dyDescent="0.2">
      <c r="A583" s="47" t="str">
        <f t="shared" si="18"/>
        <v>241Marzo2025</v>
      </c>
      <c r="B583" s="47">
        <v>8</v>
      </c>
      <c r="C583" s="47">
        <v>241</v>
      </c>
      <c r="D583" s="47" t="s">
        <v>30</v>
      </c>
      <c r="E583" s="48">
        <v>3616</v>
      </c>
      <c r="F583" s="48">
        <v>3961</v>
      </c>
      <c r="G583" s="56">
        <f t="shared" si="19"/>
        <v>0.91290078263064878</v>
      </c>
      <c r="H583" s="47" t="s">
        <v>42</v>
      </c>
      <c r="I583" s="47">
        <v>2025</v>
      </c>
    </row>
    <row r="584" spans="1:9" x14ac:dyDescent="0.2">
      <c r="A584" s="47" t="str">
        <f t="shared" si="18"/>
        <v>11931Marzo2025</v>
      </c>
      <c r="B584" s="47">
        <v>9</v>
      </c>
      <c r="C584" s="47">
        <v>11931</v>
      </c>
      <c r="D584" s="47" t="s">
        <v>39</v>
      </c>
      <c r="E584" s="48">
        <v>5429</v>
      </c>
      <c r="F584" s="48">
        <v>6064</v>
      </c>
      <c r="G584" s="56">
        <f t="shared" si="19"/>
        <v>0.89528364116094983</v>
      </c>
      <c r="H584" s="47" t="s">
        <v>42</v>
      </c>
      <c r="I584" s="47">
        <v>2025</v>
      </c>
    </row>
    <row r="585" spans="1:9" x14ac:dyDescent="0.2">
      <c r="A585" s="47" t="str">
        <f t="shared" si="18"/>
        <v>11116Marzo2025</v>
      </c>
      <c r="B585" s="47">
        <v>10</v>
      </c>
      <c r="C585" s="47">
        <v>11116</v>
      </c>
      <c r="D585" s="47" t="s">
        <v>28</v>
      </c>
      <c r="E585" s="48">
        <v>20999</v>
      </c>
      <c r="F585" s="48">
        <v>23641</v>
      </c>
      <c r="G585" s="56">
        <f t="shared" si="19"/>
        <v>0.88824499809652724</v>
      </c>
      <c r="H585" s="47" t="s">
        <v>42</v>
      </c>
      <c r="I585" s="47">
        <v>2025</v>
      </c>
    </row>
    <row r="586" spans="1:9" x14ac:dyDescent="0.2">
      <c r="A586" s="47" t="str">
        <f t="shared" si="18"/>
        <v>10951Marzo2025</v>
      </c>
      <c r="B586" s="47">
        <v>11</v>
      </c>
      <c r="C586" s="47">
        <v>10951</v>
      </c>
      <c r="D586" s="47" t="s">
        <v>24</v>
      </c>
      <c r="E586" s="48">
        <v>3864</v>
      </c>
      <c r="F586" s="48">
        <v>4382</v>
      </c>
      <c r="G586" s="56">
        <f t="shared" si="19"/>
        <v>0.88178913738019171</v>
      </c>
      <c r="H586" s="47" t="s">
        <v>42</v>
      </c>
      <c r="I586" s="47">
        <v>2025</v>
      </c>
    </row>
    <row r="587" spans="1:9" x14ac:dyDescent="0.2">
      <c r="A587" s="47" t="str">
        <f t="shared" si="18"/>
        <v>239Marzo2025</v>
      </c>
      <c r="B587" s="47">
        <v>12</v>
      </c>
      <c r="C587" s="47">
        <v>239</v>
      </c>
      <c r="D587" s="47" t="s">
        <v>32</v>
      </c>
      <c r="E587" s="48">
        <v>9005</v>
      </c>
      <c r="F587" s="48">
        <v>10305</v>
      </c>
      <c r="G587" s="56">
        <f t="shared" si="19"/>
        <v>0.87384764677341098</v>
      </c>
      <c r="H587" s="47" t="s">
        <v>42</v>
      </c>
      <c r="I587" s="47">
        <v>2025</v>
      </c>
    </row>
    <row r="588" spans="1:9" x14ac:dyDescent="0.2">
      <c r="A588" s="47" t="str">
        <f t="shared" si="18"/>
        <v>236Marzo2025</v>
      </c>
      <c r="B588" s="47">
        <v>13</v>
      </c>
      <c r="C588" s="47">
        <v>236</v>
      </c>
      <c r="D588" s="47" t="s">
        <v>25</v>
      </c>
      <c r="E588" s="48">
        <v>9262</v>
      </c>
      <c r="F588" s="48">
        <v>10937</v>
      </c>
      <c r="G588" s="56">
        <f t="shared" si="19"/>
        <v>0.84685014172076434</v>
      </c>
      <c r="H588" s="47" t="s">
        <v>42</v>
      </c>
      <c r="I588" s="47">
        <v>2025</v>
      </c>
    </row>
    <row r="589" spans="1:9" x14ac:dyDescent="0.2">
      <c r="A589" s="47" t="str">
        <f t="shared" si="18"/>
        <v>238Marzo2025</v>
      </c>
      <c r="B589" s="47">
        <v>14</v>
      </c>
      <c r="C589" s="47">
        <v>238</v>
      </c>
      <c r="D589" s="47" t="s">
        <v>35</v>
      </c>
      <c r="E589" s="48">
        <v>4742</v>
      </c>
      <c r="F589" s="48">
        <v>5625</v>
      </c>
      <c r="G589" s="56">
        <f t="shared" si="19"/>
        <v>0.84302222222222223</v>
      </c>
      <c r="H589" s="47" t="s">
        <v>42</v>
      </c>
      <c r="I589" s="47">
        <v>2025</v>
      </c>
    </row>
    <row r="590" spans="1:9" x14ac:dyDescent="0.2">
      <c r="A590" s="47" t="str">
        <f t="shared" si="18"/>
        <v>242Marzo2025</v>
      </c>
      <c r="B590" s="47">
        <v>15</v>
      </c>
      <c r="C590" s="47">
        <v>242</v>
      </c>
      <c r="D590" s="47" t="s">
        <v>7</v>
      </c>
      <c r="E590" s="48">
        <v>4388</v>
      </c>
      <c r="F590" s="48">
        <v>5207</v>
      </c>
      <c r="G590" s="56">
        <f t="shared" si="19"/>
        <v>0.84271173420395618</v>
      </c>
      <c r="H590" s="47" t="s">
        <v>42</v>
      </c>
      <c r="I590" s="47">
        <v>2025</v>
      </c>
    </row>
    <row r="591" spans="1:9" x14ac:dyDescent="0.2">
      <c r="A591" s="47" t="str">
        <f t="shared" si="18"/>
        <v>12163Marzo2025</v>
      </c>
      <c r="B591" s="47">
        <v>16</v>
      </c>
      <c r="C591" s="47">
        <v>12163</v>
      </c>
      <c r="D591" s="47" t="s">
        <v>67</v>
      </c>
      <c r="E591" s="48">
        <v>2890</v>
      </c>
      <c r="F591" s="48">
        <v>3682</v>
      </c>
      <c r="G591" s="56">
        <f t="shared" si="19"/>
        <v>0.78489951113525258</v>
      </c>
      <c r="H591" s="47" t="s">
        <v>42</v>
      </c>
      <c r="I591" s="47">
        <v>2025</v>
      </c>
    </row>
    <row r="592" spans="1:9" x14ac:dyDescent="0.2">
      <c r="A592" s="47" t="str">
        <f t="shared" si="18"/>
        <v>12166Marzo2025</v>
      </c>
      <c r="B592" s="47">
        <v>17</v>
      </c>
      <c r="C592" s="47">
        <v>12166</v>
      </c>
      <c r="D592" s="47" t="s">
        <v>65</v>
      </c>
      <c r="E592" s="48">
        <v>3409</v>
      </c>
      <c r="F592" s="48">
        <v>4382</v>
      </c>
      <c r="G592" s="56">
        <f t="shared" si="19"/>
        <v>0.77795527156549515</v>
      </c>
      <c r="H592" s="47" t="s">
        <v>42</v>
      </c>
      <c r="I592" s="47">
        <v>2025</v>
      </c>
    </row>
    <row r="593" spans="1:9" x14ac:dyDescent="0.2">
      <c r="A593" s="47" t="str">
        <f t="shared" si="18"/>
        <v>246Marzo2025</v>
      </c>
      <c r="B593" s="47">
        <v>18</v>
      </c>
      <c r="C593" s="47">
        <v>246</v>
      </c>
      <c r="D593" s="47" t="s">
        <v>9</v>
      </c>
      <c r="E593" s="48">
        <v>4638</v>
      </c>
      <c r="F593" s="48">
        <v>6287</v>
      </c>
      <c r="G593" s="56">
        <f t="shared" si="19"/>
        <v>0.73771274057579128</v>
      </c>
      <c r="H593" s="47" t="s">
        <v>42</v>
      </c>
      <c r="I593" s="47">
        <v>2025</v>
      </c>
    </row>
    <row r="594" spans="1:9" x14ac:dyDescent="0.2">
      <c r="A594" s="47" t="str">
        <f t="shared" si="18"/>
        <v>243Marzo2025</v>
      </c>
      <c r="B594" s="47">
        <v>19</v>
      </c>
      <c r="C594" s="47">
        <v>243</v>
      </c>
      <c r="D594" s="47" t="s">
        <v>34</v>
      </c>
      <c r="E594" s="48">
        <v>6359</v>
      </c>
      <c r="F594" s="48">
        <v>9428</v>
      </c>
      <c r="G594" s="56">
        <f t="shared" si="19"/>
        <v>0.67448027153160794</v>
      </c>
      <c r="H594" s="47" t="s">
        <v>42</v>
      </c>
      <c r="I594" s="47">
        <v>2025</v>
      </c>
    </row>
    <row r="595" spans="1:9" x14ac:dyDescent="0.2">
      <c r="A595" s="47" t="str">
        <f t="shared" si="18"/>
        <v>234Marzo2025</v>
      </c>
      <c r="B595" s="47">
        <v>20</v>
      </c>
      <c r="C595" s="47">
        <v>234</v>
      </c>
      <c r="D595" s="47" t="s">
        <v>18</v>
      </c>
      <c r="E595" s="48">
        <v>7425</v>
      </c>
      <c r="F595" s="48">
        <v>11268</v>
      </c>
      <c r="G595" s="56">
        <f t="shared" si="19"/>
        <v>0.65894568690095845</v>
      </c>
      <c r="H595" s="47" t="s">
        <v>42</v>
      </c>
      <c r="I595" s="47">
        <v>2025</v>
      </c>
    </row>
    <row r="596" spans="1:9" x14ac:dyDescent="0.2">
      <c r="A596" s="47" t="str">
        <f t="shared" si="18"/>
        <v>1557Marzo2025</v>
      </c>
      <c r="B596" s="47">
        <v>21</v>
      </c>
      <c r="C596" s="47">
        <v>1557</v>
      </c>
      <c r="D596" s="47" t="s">
        <v>12</v>
      </c>
      <c r="E596" s="48">
        <v>2710</v>
      </c>
      <c r="F596" s="48">
        <v>4197</v>
      </c>
      <c r="G596" s="56">
        <f t="shared" si="19"/>
        <v>0.64569930903025974</v>
      </c>
      <c r="H596" s="47" t="s">
        <v>42</v>
      </c>
      <c r="I596" s="47">
        <v>2025</v>
      </c>
    </row>
    <row r="597" spans="1:9" x14ac:dyDescent="0.2">
      <c r="A597" s="47" t="str">
        <f t="shared" si="18"/>
        <v>28745Marzo2025</v>
      </c>
      <c r="B597" s="47">
        <v>22</v>
      </c>
      <c r="C597" s="47">
        <v>28745</v>
      </c>
      <c r="D597" s="47" t="s">
        <v>6</v>
      </c>
      <c r="E597" s="48">
        <v>1204</v>
      </c>
      <c r="F597" s="48">
        <v>1988</v>
      </c>
      <c r="G597" s="56">
        <f t="shared" si="19"/>
        <v>0.60563380281690138</v>
      </c>
      <c r="H597" s="47" t="s">
        <v>42</v>
      </c>
      <c r="I597" s="47">
        <v>2025</v>
      </c>
    </row>
    <row r="598" spans="1:9" x14ac:dyDescent="0.2">
      <c r="A598" s="47" t="str">
        <f t="shared" si="18"/>
        <v>237Marzo2025</v>
      </c>
      <c r="B598" s="47">
        <v>23</v>
      </c>
      <c r="C598" s="47">
        <v>237</v>
      </c>
      <c r="D598" s="47" t="s">
        <v>31</v>
      </c>
      <c r="E598" s="48">
        <v>9626</v>
      </c>
      <c r="F598" s="48">
        <v>16019</v>
      </c>
      <c r="G598" s="56">
        <f t="shared" si="19"/>
        <v>0.60091141769149137</v>
      </c>
      <c r="H598" s="47" t="s">
        <v>42</v>
      </c>
      <c r="I598" s="47">
        <v>2025</v>
      </c>
    </row>
    <row r="599" spans="1:9" x14ac:dyDescent="0.2">
      <c r="A599" s="47" t="str">
        <f t="shared" si="18"/>
        <v>11117Abril2025</v>
      </c>
      <c r="B599" s="47">
        <v>1</v>
      </c>
      <c r="C599" s="47">
        <v>11117</v>
      </c>
      <c r="D599" s="47" t="s">
        <v>15</v>
      </c>
      <c r="E599" s="48">
        <v>24707</v>
      </c>
      <c r="F599" s="48">
        <v>25696</v>
      </c>
      <c r="G599" s="56">
        <f t="shared" si="19"/>
        <v>0.96151151930261525</v>
      </c>
      <c r="H599" s="47" t="s">
        <v>43</v>
      </c>
      <c r="I599" s="47">
        <v>2025</v>
      </c>
    </row>
    <row r="600" spans="1:9" x14ac:dyDescent="0.2">
      <c r="A600" s="47" t="str">
        <f t="shared" si="18"/>
        <v>11882Abril2025</v>
      </c>
      <c r="B600" s="47">
        <v>2</v>
      </c>
      <c r="C600" s="47">
        <v>11882</v>
      </c>
      <c r="D600" s="47" t="s">
        <v>22</v>
      </c>
      <c r="E600" s="48">
        <v>3357</v>
      </c>
      <c r="F600" s="48">
        <v>3503</v>
      </c>
      <c r="G600" s="56">
        <f t="shared" si="19"/>
        <v>0.95832143876677134</v>
      </c>
      <c r="H600" s="47" t="s">
        <v>43</v>
      </c>
      <c r="I600" s="47">
        <v>2025</v>
      </c>
    </row>
    <row r="601" spans="1:9" x14ac:dyDescent="0.2">
      <c r="A601" s="47" t="str">
        <f t="shared" si="18"/>
        <v>12165Abril2025</v>
      </c>
      <c r="B601" s="47">
        <v>3</v>
      </c>
      <c r="C601" s="47">
        <v>12165</v>
      </c>
      <c r="D601" s="47" t="s">
        <v>66</v>
      </c>
      <c r="E601" s="48">
        <v>2849</v>
      </c>
      <c r="F601" s="48">
        <v>2977</v>
      </c>
      <c r="G601" s="56">
        <f t="shared" si="19"/>
        <v>0.95700369499496141</v>
      </c>
      <c r="H601" s="47" t="s">
        <v>43</v>
      </c>
      <c r="I601" s="47">
        <v>2025</v>
      </c>
    </row>
    <row r="602" spans="1:9" x14ac:dyDescent="0.2">
      <c r="A602" s="47" t="str">
        <f t="shared" si="18"/>
        <v>11799Abril2025</v>
      </c>
      <c r="B602" s="47">
        <v>4</v>
      </c>
      <c r="C602" s="47">
        <v>11799</v>
      </c>
      <c r="D602" s="47" t="s">
        <v>21</v>
      </c>
      <c r="E602" s="48">
        <v>6128</v>
      </c>
      <c r="F602" s="48">
        <v>6456</v>
      </c>
      <c r="G602" s="56">
        <f t="shared" si="19"/>
        <v>0.94919454770755884</v>
      </c>
      <c r="H602" s="47" t="s">
        <v>43</v>
      </c>
      <c r="I602" s="47">
        <v>2025</v>
      </c>
    </row>
    <row r="603" spans="1:9" x14ac:dyDescent="0.2">
      <c r="A603" s="47" t="str">
        <f t="shared" si="18"/>
        <v>240Abril2025</v>
      </c>
      <c r="B603" s="47">
        <v>5</v>
      </c>
      <c r="C603" s="47">
        <v>240</v>
      </c>
      <c r="D603" s="47" t="s">
        <v>23</v>
      </c>
      <c r="E603" s="48">
        <v>10679</v>
      </c>
      <c r="F603" s="48">
        <v>11521</v>
      </c>
      <c r="G603" s="56">
        <f t="shared" si="19"/>
        <v>0.92691606631368806</v>
      </c>
      <c r="H603" s="47" t="s">
        <v>43</v>
      </c>
      <c r="I603" s="47">
        <v>2025</v>
      </c>
    </row>
    <row r="604" spans="1:9" x14ac:dyDescent="0.2">
      <c r="A604" s="47" t="str">
        <f t="shared" si="18"/>
        <v>10904Abril2025</v>
      </c>
      <c r="B604" s="47">
        <v>6</v>
      </c>
      <c r="C604" s="47">
        <v>10904</v>
      </c>
      <c r="D604" s="47" t="s">
        <v>29</v>
      </c>
      <c r="E604" s="48">
        <v>5061</v>
      </c>
      <c r="F604" s="48">
        <v>5522</v>
      </c>
      <c r="G604" s="56">
        <f t="shared" si="19"/>
        <v>0.91651575516117345</v>
      </c>
      <c r="H604" s="47" t="s">
        <v>43</v>
      </c>
      <c r="I604" s="47">
        <v>2025</v>
      </c>
    </row>
    <row r="605" spans="1:9" x14ac:dyDescent="0.2">
      <c r="A605" s="47" t="str">
        <f t="shared" si="18"/>
        <v>241Abril2025</v>
      </c>
      <c r="B605" s="47">
        <v>7</v>
      </c>
      <c r="C605" s="47">
        <v>241</v>
      </c>
      <c r="D605" s="47" t="s">
        <v>30</v>
      </c>
      <c r="E605" s="48">
        <v>5500</v>
      </c>
      <c r="F605" s="48">
        <v>5961</v>
      </c>
      <c r="G605" s="56">
        <f t="shared" si="19"/>
        <v>0.92266398255326287</v>
      </c>
      <c r="H605" s="47" t="s">
        <v>43</v>
      </c>
      <c r="I605" s="47">
        <v>2025</v>
      </c>
    </row>
    <row r="606" spans="1:9" x14ac:dyDescent="0.2">
      <c r="A606" s="47" t="str">
        <f t="shared" si="18"/>
        <v>10951Abril2025</v>
      </c>
      <c r="B606" s="47">
        <v>8</v>
      </c>
      <c r="C606" s="47">
        <v>10951</v>
      </c>
      <c r="D606" s="47" t="s">
        <v>24</v>
      </c>
      <c r="E606" s="48">
        <v>5070</v>
      </c>
      <c r="F606" s="48">
        <v>5708</v>
      </c>
      <c r="G606" s="56">
        <f t="shared" si="19"/>
        <v>0.88822704975473021</v>
      </c>
      <c r="H606" s="47" t="s">
        <v>43</v>
      </c>
      <c r="I606" s="47">
        <v>2025</v>
      </c>
    </row>
    <row r="607" spans="1:9" x14ac:dyDescent="0.2">
      <c r="A607" s="47" t="str">
        <f t="shared" si="18"/>
        <v>239Abril2025</v>
      </c>
      <c r="B607" s="47">
        <v>9</v>
      </c>
      <c r="C607" s="47">
        <v>239</v>
      </c>
      <c r="D607" s="47" t="s">
        <v>32</v>
      </c>
      <c r="E607" s="48">
        <v>12362</v>
      </c>
      <c r="F607" s="48">
        <v>13909</v>
      </c>
      <c r="G607" s="56">
        <f t="shared" si="19"/>
        <v>0.8887770508303976</v>
      </c>
      <c r="H607" s="47" t="s">
        <v>43</v>
      </c>
      <c r="I607" s="47">
        <v>2025</v>
      </c>
    </row>
    <row r="608" spans="1:9" x14ac:dyDescent="0.2">
      <c r="A608" s="47" t="str">
        <f t="shared" si="18"/>
        <v>11931Abril2025</v>
      </c>
      <c r="B608" s="47">
        <v>10</v>
      </c>
      <c r="C608" s="47">
        <v>11931</v>
      </c>
      <c r="D608" s="47" t="s">
        <v>39</v>
      </c>
      <c r="E608" s="48">
        <v>7177</v>
      </c>
      <c r="F608" s="48">
        <v>8066</v>
      </c>
      <c r="G608" s="56">
        <f t="shared" si="19"/>
        <v>0.88978427969253659</v>
      </c>
      <c r="H608" s="47" t="s">
        <v>43</v>
      </c>
      <c r="I608" s="47">
        <v>2025</v>
      </c>
    </row>
    <row r="609" spans="1:9" x14ac:dyDescent="0.2">
      <c r="A609" s="47" t="str">
        <f t="shared" si="18"/>
        <v>11116Abril2025</v>
      </c>
      <c r="B609" s="47">
        <v>11</v>
      </c>
      <c r="C609" s="47">
        <v>11116</v>
      </c>
      <c r="D609" s="47" t="s">
        <v>28</v>
      </c>
      <c r="E609" s="48">
        <v>28640</v>
      </c>
      <c r="F609" s="48">
        <v>32415</v>
      </c>
      <c r="G609" s="56">
        <f t="shared" si="19"/>
        <v>0.88354157026068181</v>
      </c>
      <c r="H609" s="47" t="s">
        <v>43</v>
      </c>
      <c r="I609" s="47">
        <v>2025</v>
      </c>
    </row>
    <row r="610" spans="1:9" x14ac:dyDescent="0.2">
      <c r="A610" s="47" t="str">
        <f t="shared" ref="A610:A673" si="20">C610&amp;H610&amp;I610</f>
        <v>235Abril2025</v>
      </c>
      <c r="B610" s="47">
        <v>12</v>
      </c>
      <c r="C610" s="47">
        <v>235</v>
      </c>
      <c r="D610" s="47" t="s">
        <v>33</v>
      </c>
      <c r="E610" s="48">
        <v>8088</v>
      </c>
      <c r="F610" s="48">
        <v>9157</v>
      </c>
      <c r="G610" s="56">
        <f t="shared" si="19"/>
        <v>0.88325870918423066</v>
      </c>
      <c r="H610" s="47" t="s">
        <v>43</v>
      </c>
      <c r="I610" s="47">
        <v>2025</v>
      </c>
    </row>
    <row r="611" spans="1:9" x14ac:dyDescent="0.2">
      <c r="A611" s="47" t="str">
        <f t="shared" si="20"/>
        <v>236Abril2025</v>
      </c>
      <c r="B611" s="47">
        <v>13</v>
      </c>
      <c r="C611" s="47">
        <v>236</v>
      </c>
      <c r="D611" s="47" t="s">
        <v>25</v>
      </c>
      <c r="E611" s="48">
        <v>12953</v>
      </c>
      <c r="F611" s="48">
        <v>14660</v>
      </c>
      <c r="G611" s="56">
        <f t="shared" si="19"/>
        <v>0.88356070941336973</v>
      </c>
      <c r="H611" s="47" t="s">
        <v>43</v>
      </c>
      <c r="I611" s="47">
        <v>2025</v>
      </c>
    </row>
    <row r="612" spans="1:9" x14ac:dyDescent="0.2">
      <c r="A612" s="47" t="str">
        <f t="shared" si="20"/>
        <v>238Abril2025</v>
      </c>
      <c r="B612" s="47">
        <v>14</v>
      </c>
      <c r="C612" s="47">
        <v>238</v>
      </c>
      <c r="D612" s="47" t="s">
        <v>35</v>
      </c>
      <c r="E612" s="48">
        <v>6609</v>
      </c>
      <c r="F612" s="48">
        <v>7601</v>
      </c>
      <c r="G612" s="56">
        <f t="shared" si="19"/>
        <v>0.86949085646625446</v>
      </c>
      <c r="H612" s="47" t="s">
        <v>43</v>
      </c>
      <c r="I612" s="47">
        <v>2025</v>
      </c>
    </row>
    <row r="613" spans="1:9" x14ac:dyDescent="0.2">
      <c r="A613" s="47" t="str">
        <f t="shared" si="20"/>
        <v>242Abril2025</v>
      </c>
      <c r="B613" s="47">
        <v>15</v>
      </c>
      <c r="C613" s="47">
        <v>242</v>
      </c>
      <c r="D613" s="47" t="s">
        <v>7</v>
      </c>
      <c r="E613" s="48">
        <v>6242</v>
      </c>
      <c r="F613" s="48">
        <v>7150</v>
      </c>
      <c r="G613" s="56">
        <f t="shared" si="19"/>
        <v>0.87300699300699303</v>
      </c>
      <c r="H613" s="47" t="s">
        <v>43</v>
      </c>
      <c r="I613" s="47">
        <v>2025</v>
      </c>
    </row>
    <row r="614" spans="1:9" x14ac:dyDescent="0.2">
      <c r="A614" s="47" t="str">
        <f t="shared" si="20"/>
        <v>12163Abril2025</v>
      </c>
      <c r="B614" s="47">
        <v>16</v>
      </c>
      <c r="C614" s="47">
        <v>12163</v>
      </c>
      <c r="D614" s="47" t="s">
        <v>67</v>
      </c>
      <c r="E614" s="48">
        <v>5246</v>
      </c>
      <c r="F614" s="48">
        <v>6135</v>
      </c>
      <c r="G614" s="56">
        <f t="shared" si="19"/>
        <v>0.85509372453137733</v>
      </c>
      <c r="H614" s="47" t="s">
        <v>43</v>
      </c>
      <c r="I614" s="47">
        <v>2025</v>
      </c>
    </row>
    <row r="615" spans="1:9" x14ac:dyDescent="0.2">
      <c r="A615" s="47" t="str">
        <f t="shared" si="20"/>
        <v>12166Abril2025</v>
      </c>
      <c r="B615" s="47">
        <v>17</v>
      </c>
      <c r="C615" s="47">
        <v>12166</v>
      </c>
      <c r="D615" s="47" t="s">
        <v>65</v>
      </c>
      <c r="E615" s="48">
        <v>4962</v>
      </c>
      <c r="F615" s="48">
        <v>6101</v>
      </c>
      <c r="G615" s="56">
        <f t="shared" si="19"/>
        <v>0.81330929355843307</v>
      </c>
      <c r="H615" s="47" t="s">
        <v>43</v>
      </c>
      <c r="I615" s="47">
        <v>2025</v>
      </c>
    </row>
    <row r="616" spans="1:9" x14ac:dyDescent="0.2">
      <c r="A616" s="47" t="str">
        <f t="shared" si="20"/>
        <v>234Abril2025</v>
      </c>
      <c r="B616" s="47">
        <v>18</v>
      </c>
      <c r="C616" s="47">
        <v>234</v>
      </c>
      <c r="D616" s="47" t="s">
        <v>18</v>
      </c>
      <c r="E616" s="48">
        <v>11392</v>
      </c>
      <c r="F616" s="48">
        <v>15878</v>
      </c>
      <c r="G616" s="56">
        <f t="shared" si="19"/>
        <v>0.71747071419574249</v>
      </c>
      <c r="H616" s="47" t="s">
        <v>43</v>
      </c>
      <c r="I616" s="47">
        <v>2025</v>
      </c>
    </row>
    <row r="617" spans="1:9" x14ac:dyDescent="0.2">
      <c r="A617" s="47" t="str">
        <f t="shared" si="20"/>
        <v>1557Abril2025</v>
      </c>
      <c r="B617" s="47">
        <v>19</v>
      </c>
      <c r="C617" s="47">
        <v>1557</v>
      </c>
      <c r="D617" s="47" t="s">
        <v>12</v>
      </c>
      <c r="E617" s="48">
        <v>4103</v>
      </c>
      <c r="F617" s="48">
        <v>5859</v>
      </c>
      <c r="G617" s="56">
        <f t="shared" si="19"/>
        <v>0.7002901519030551</v>
      </c>
      <c r="H617" s="47" t="s">
        <v>43</v>
      </c>
      <c r="I617" s="47">
        <v>2025</v>
      </c>
    </row>
    <row r="618" spans="1:9" x14ac:dyDescent="0.2">
      <c r="A618" s="47" t="str">
        <f t="shared" si="20"/>
        <v>243Abril2025</v>
      </c>
      <c r="B618" s="47">
        <v>20</v>
      </c>
      <c r="C618" s="47">
        <v>243</v>
      </c>
      <c r="D618" s="47" t="s">
        <v>34</v>
      </c>
      <c r="E618" s="48">
        <v>9128</v>
      </c>
      <c r="F618" s="48">
        <v>13065</v>
      </c>
      <c r="G618" s="56">
        <f t="shared" si="19"/>
        <v>0.69866054343666284</v>
      </c>
      <c r="H618" s="47" t="s">
        <v>43</v>
      </c>
      <c r="I618" s="47">
        <v>2025</v>
      </c>
    </row>
    <row r="619" spans="1:9" x14ac:dyDescent="0.2">
      <c r="A619" s="47" t="str">
        <f t="shared" si="20"/>
        <v>237Abril2025</v>
      </c>
      <c r="B619" s="47">
        <v>21</v>
      </c>
      <c r="C619" s="47">
        <v>237</v>
      </c>
      <c r="D619" s="47" t="s">
        <v>31</v>
      </c>
      <c r="E619" s="48">
        <v>13884</v>
      </c>
      <c r="F619" s="48">
        <v>20803</v>
      </c>
      <c r="G619" s="56">
        <f t="shared" si="19"/>
        <v>0.66740373984521462</v>
      </c>
      <c r="H619" s="47" t="s">
        <v>43</v>
      </c>
      <c r="I619" s="47">
        <v>2025</v>
      </c>
    </row>
    <row r="620" spans="1:9" x14ac:dyDescent="0.2">
      <c r="A620" s="47" t="str">
        <f t="shared" si="20"/>
        <v>28745Abril2025</v>
      </c>
      <c r="B620" s="47">
        <v>22</v>
      </c>
      <c r="C620" s="47">
        <v>28745</v>
      </c>
      <c r="D620" s="47" t="s">
        <v>6</v>
      </c>
      <c r="E620" s="48">
        <v>1661</v>
      </c>
      <c r="F620" s="48">
        <v>2613</v>
      </c>
      <c r="G620" s="56">
        <f t="shared" si="19"/>
        <v>0.63566781477229239</v>
      </c>
      <c r="H620" s="47" t="s">
        <v>43</v>
      </c>
      <c r="I620" s="47">
        <v>2025</v>
      </c>
    </row>
    <row r="621" spans="1:9" x14ac:dyDescent="0.2">
      <c r="A621" s="47" t="str">
        <f t="shared" si="20"/>
        <v>246Abril2025</v>
      </c>
      <c r="B621" s="47">
        <v>23</v>
      </c>
      <c r="C621" s="47">
        <v>246</v>
      </c>
      <c r="D621" s="47" t="s">
        <v>9</v>
      </c>
      <c r="E621" s="48">
        <v>5423</v>
      </c>
      <c r="F621" s="48">
        <v>9341</v>
      </c>
      <c r="G621" s="56">
        <f t="shared" si="19"/>
        <v>0.58055882667808589</v>
      </c>
      <c r="H621" s="47" t="s">
        <v>43</v>
      </c>
      <c r="I621" s="47">
        <v>2025</v>
      </c>
    </row>
    <row r="622" spans="1:9" x14ac:dyDescent="0.2">
      <c r="A622" s="47" t="str">
        <f t="shared" si="20"/>
        <v>12165Mayo 2025</v>
      </c>
      <c r="B622" s="47">
        <v>1</v>
      </c>
      <c r="C622" s="47">
        <v>12165</v>
      </c>
      <c r="D622" s="47" t="s">
        <v>66</v>
      </c>
      <c r="E622" s="48">
        <v>3633</v>
      </c>
      <c r="F622" s="48">
        <v>3763</v>
      </c>
      <c r="G622" s="56">
        <f t="shared" si="19"/>
        <v>0.96545309593409512</v>
      </c>
      <c r="H622" s="47" t="s">
        <v>79</v>
      </c>
      <c r="I622" s="47">
        <v>2025</v>
      </c>
    </row>
    <row r="623" spans="1:9" x14ac:dyDescent="0.2">
      <c r="A623" s="47" t="str">
        <f t="shared" si="20"/>
        <v>11117Mayo 2025</v>
      </c>
      <c r="B623" s="47">
        <v>2</v>
      </c>
      <c r="C623" s="47">
        <v>11117</v>
      </c>
      <c r="D623" s="47" t="s">
        <v>15</v>
      </c>
      <c r="E623" s="48">
        <v>31518</v>
      </c>
      <c r="F623" s="48">
        <v>32762</v>
      </c>
      <c r="G623" s="56">
        <f t="shared" si="19"/>
        <v>0.96202918014773209</v>
      </c>
      <c r="H623" s="47" t="s">
        <v>79</v>
      </c>
      <c r="I623" s="47">
        <v>2025</v>
      </c>
    </row>
    <row r="624" spans="1:9" x14ac:dyDescent="0.2">
      <c r="A624" s="47" t="str">
        <f t="shared" si="20"/>
        <v>11799Mayo 2025</v>
      </c>
      <c r="B624" s="47">
        <v>3</v>
      </c>
      <c r="C624" s="47">
        <v>11799</v>
      </c>
      <c r="D624" s="47" t="s">
        <v>21</v>
      </c>
      <c r="E624" s="48">
        <v>7692</v>
      </c>
      <c r="F624" s="48">
        <v>8054</v>
      </c>
      <c r="G624" s="56">
        <f t="shared" si="19"/>
        <v>0.95505338962006459</v>
      </c>
      <c r="H624" s="47" t="s">
        <v>79</v>
      </c>
      <c r="I624" s="47">
        <v>2025</v>
      </c>
    </row>
    <row r="625" spans="1:9" x14ac:dyDescent="0.2">
      <c r="A625" s="47" t="str">
        <f t="shared" si="20"/>
        <v>11882Mayo 2025</v>
      </c>
      <c r="B625" s="47">
        <v>4</v>
      </c>
      <c r="C625" s="47">
        <v>11882</v>
      </c>
      <c r="D625" s="47" t="s">
        <v>22</v>
      </c>
      <c r="E625" s="48">
        <v>4448</v>
      </c>
      <c r="F625" s="48">
        <v>4673</v>
      </c>
      <c r="G625" s="56">
        <f t="shared" si="19"/>
        <v>0.95185105927669589</v>
      </c>
      <c r="H625" s="47" t="s">
        <v>79</v>
      </c>
      <c r="I625" s="47">
        <v>2025</v>
      </c>
    </row>
    <row r="626" spans="1:9" x14ac:dyDescent="0.2">
      <c r="A626" s="47" t="str">
        <f t="shared" si="20"/>
        <v>241Mayo 2025</v>
      </c>
      <c r="B626" s="47">
        <v>5</v>
      </c>
      <c r="C626" s="47">
        <v>241</v>
      </c>
      <c r="D626" s="47" t="s">
        <v>30</v>
      </c>
      <c r="E626" s="48">
        <v>6936</v>
      </c>
      <c r="F626" s="48">
        <v>7415</v>
      </c>
      <c r="G626" s="56">
        <f t="shared" si="19"/>
        <v>0.93540121375590024</v>
      </c>
      <c r="H626" s="47" t="s">
        <v>79</v>
      </c>
      <c r="I626" s="47">
        <v>2025</v>
      </c>
    </row>
    <row r="627" spans="1:9" x14ac:dyDescent="0.2">
      <c r="A627" s="47" t="str">
        <f t="shared" si="20"/>
        <v>240Mayo 2025</v>
      </c>
      <c r="B627" s="47">
        <v>6</v>
      </c>
      <c r="C627" s="47">
        <v>240</v>
      </c>
      <c r="D627" s="47" t="s">
        <v>23</v>
      </c>
      <c r="E627" s="48">
        <v>13122</v>
      </c>
      <c r="F627" s="48">
        <v>14151</v>
      </c>
      <c r="G627" s="56">
        <f t="shared" si="19"/>
        <v>0.92728429086283659</v>
      </c>
      <c r="H627" s="47" t="s">
        <v>79</v>
      </c>
      <c r="I627" s="47">
        <v>2025</v>
      </c>
    </row>
    <row r="628" spans="1:9" x14ac:dyDescent="0.2">
      <c r="A628" s="47" t="str">
        <f t="shared" si="20"/>
        <v>10904Mayo 2025</v>
      </c>
      <c r="B628" s="47">
        <v>7</v>
      </c>
      <c r="C628" s="47">
        <v>10904</v>
      </c>
      <c r="D628" s="47" t="s">
        <v>29</v>
      </c>
      <c r="E628" s="48">
        <v>6442</v>
      </c>
      <c r="F628" s="48">
        <v>6994</v>
      </c>
      <c r="G628" s="56">
        <f t="shared" si="19"/>
        <v>0.92107520732056047</v>
      </c>
      <c r="H628" s="47" t="s">
        <v>79</v>
      </c>
      <c r="I628" s="47">
        <v>2025</v>
      </c>
    </row>
    <row r="629" spans="1:9" x14ac:dyDescent="0.2">
      <c r="A629" s="47" t="str">
        <f t="shared" si="20"/>
        <v>235Mayo 2025</v>
      </c>
      <c r="B629" s="47">
        <v>8</v>
      </c>
      <c r="C629" s="47">
        <v>235</v>
      </c>
      <c r="D629" s="47" t="s">
        <v>33</v>
      </c>
      <c r="E629" s="48">
        <v>9760</v>
      </c>
      <c r="F629" s="48">
        <v>10863</v>
      </c>
      <c r="G629" s="56">
        <f t="shared" si="19"/>
        <v>0.89846267145355796</v>
      </c>
      <c r="H629" s="47" t="s">
        <v>79</v>
      </c>
      <c r="I629" s="47">
        <v>2025</v>
      </c>
    </row>
    <row r="630" spans="1:9" x14ac:dyDescent="0.2">
      <c r="A630" s="47" t="str">
        <f t="shared" si="20"/>
        <v>236Mayo 2025</v>
      </c>
      <c r="B630" s="47">
        <v>9</v>
      </c>
      <c r="C630" s="47">
        <v>236</v>
      </c>
      <c r="D630" s="47" t="s">
        <v>25</v>
      </c>
      <c r="E630" s="48">
        <v>16537</v>
      </c>
      <c r="F630" s="48">
        <v>18334</v>
      </c>
      <c r="G630" s="56">
        <f t="shared" si="19"/>
        <v>0.90198538234973269</v>
      </c>
      <c r="H630" s="47" t="s">
        <v>79</v>
      </c>
      <c r="I630" s="47">
        <v>2025</v>
      </c>
    </row>
    <row r="631" spans="1:9" x14ac:dyDescent="0.2">
      <c r="A631" s="47" t="str">
        <f t="shared" si="20"/>
        <v>239Mayo 2025</v>
      </c>
      <c r="B631" s="47">
        <v>10</v>
      </c>
      <c r="C631" s="47">
        <v>239</v>
      </c>
      <c r="D631" s="47" t="s">
        <v>32</v>
      </c>
      <c r="E631" s="48">
        <v>15548</v>
      </c>
      <c r="F631" s="48">
        <v>17290</v>
      </c>
      <c r="G631" s="56">
        <f t="shared" si="19"/>
        <v>0.89924812030075185</v>
      </c>
      <c r="H631" s="47" t="s">
        <v>79</v>
      </c>
      <c r="I631" s="47">
        <v>2025</v>
      </c>
    </row>
    <row r="632" spans="1:9" x14ac:dyDescent="0.2">
      <c r="A632" s="47" t="str">
        <f t="shared" si="20"/>
        <v>10951Mayo 2025</v>
      </c>
      <c r="B632" s="47">
        <v>11</v>
      </c>
      <c r="C632" s="47">
        <v>10951</v>
      </c>
      <c r="D632" s="47" t="s">
        <v>24</v>
      </c>
      <c r="E632" s="48">
        <v>6299</v>
      </c>
      <c r="F632" s="48">
        <v>7090</v>
      </c>
      <c r="G632" s="56">
        <f t="shared" si="19"/>
        <v>0.88843441466854722</v>
      </c>
      <c r="H632" s="47" t="s">
        <v>79</v>
      </c>
      <c r="I632" s="47">
        <v>2025</v>
      </c>
    </row>
    <row r="633" spans="1:9" x14ac:dyDescent="0.2">
      <c r="A633" s="47" t="str">
        <f t="shared" si="20"/>
        <v>12163Mayo 2025</v>
      </c>
      <c r="B633" s="47">
        <v>12</v>
      </c>
      <c r="C633" s="47">
        <v>12163</v>
      </c>
      <c r="D633" s="47" t="s">
        <v>67</v>
      </c>
      <c r="E633" s="48">
        <v>6553</v>
      </c>
      <c r="F633" s="48">
        <v>7450</v>
      </c>
      <c r="G633" s="56">
        <f t="shared" si="19"/>
        <v>0.87959731543624164</v>
      </c>
      <c r="H633" s="47" t="s">
        <v>79</v>
      </c>
      <c r="I633" s="47">
        <v>2025</v>
      </c>
    </row>
    <row r="634" spans="1:9" x14ac:dyDescent="0.2">
      <c r="A634" s="47" t="str">
        <f t="shared" si="20"/>
        <v>238Mayo 2025</v>
      </c>
      <c r="B634" s="47">
        <v>13</v>
      </c>
      <c r="C634" s="47">
        <v>238</v>
      </c>
      <c r="D634" s="47" t="s">
        <v>35</v>
      </c>
      <c r="E634" s="48">
        <v>8144</v>
      </c>
      <c r="F634" s="48">
        <v>9228</v>
      </c>
      <c r="G634" s="56">
        <f t="shared" si="19"/>
        <v>0.88253142609449498</v>
      </c>
      <c r="H634" s="47" t="s">
        <v>79</v>
      </c>
      <c r="I634" s="47">
        <v>2025</v>
      </c>
    </row>
    <row r="635" spans="1:9" x14ac:dyDescent="0.2">
      <c r="A635" s="47" t="str">
        <f t="shared" si="20"/>
        <v>242Mayo 2025</v>
      </c>
      <c r="B635" s="47">
        <v>14</v>
      </c>
      <c r="C635" s="47">
        <v>242</v>
      </c>
      <c r="D635" s="47" t="s">
        <v>7</v>
      </c>
      <c r="E635" s="48">
        <v>7983</v>
      </c>
      <c r="F635" s="48">
        <v>9096</v>
      </c>
      <c r="G635" s="56">
        <f t="shared" si="19"/>
        <v>0.87763852242744067</v>
      </c>
      <c r="H635" s="47" t="s">
        <v>79</v>
      </c>
      <c r="I635" s="47">
        <v>2025</v>
      </c>
    </row>
    <row r="636" spans="1:9" x14ac:dyDescent="0.2">
      <c r="A636" s="47" t="str">
        <f t="shared" si="20"/>
        <v>11931Mayo 2025</v>
      </c>
      <c r="B636" s="47">
        <v>15</v>
      </c>
      <c r="C636" s="47">
        <v>11931</v>
      </c>
      <c r="D636" s="47" t="s">
        <v>39</v>
      </c>
      <c r="E636" s="48">
        <v>8706</v>
      </c>
      <c r="F636" s="48">
        <v>9874</v>
      </c>
      <c r="G636" s="56">
        <f t="shared" ref="G636:G645" si="21">E636/F636</f>
        <v>0.88170954020660319</v>
      </c>
      <c r="H636" s="47" t="s">
        <v>79</v>
      </c>
      <c r="I636" s="47">
        <v>2025</v>
      </c>
    </row>
    <row r="637" spans="1:9" x14ac:dyDescent="0.2">
      <c r="A637" s="47" t="str">
        <f t="shared" si="20"/>
        <v>11116Mayo 2025</v>
      </c>
      <c r="B637" s="47">
        <v>16</v>
      </c>
      <c r="C637" s="47">
        <v>11116</v>
      </c>
      <c r="D637" s="47" t="s">
        <v>28</v>
      </c>
      <c r="E637" s="48">
        <v>36268</v>
      </c>
      <c r="F637" s="48">
        <v>41910</v>
      </c>
      <c r="G637" s="56">
        <f t="shared" si="21"/>
        <v>0.86537819136244332</v>
      </c>
      <c r="H637" s="47" t="s">
        <v>79</v>
      </c>
      <c r="I637" s="47">
        <v>2025</v>
      </c>
    </row>
    <row r="638" spans="1:9" x14ac:dyDescent="0.2">
      <c r="A638" s="47" t="str">
        <f t="shared" si="20"/>
        <v>12166Mayo 2025</v>
      </c>
      <c r="B638" s="47">
        <v>17</v>
      </c>
      <c r="C638" s="47">
        <v>12166</v>
      </c>
      <c r="D638" s="47" t="s">
        <v>65</v>
      </c>
      <c r="E638" s="48">
        <v>6614</v>
      </c>
      <c r="F638" s="48">
        <v>7908</v>
      </c>
      <c r="G638" s="56">
        <f t="shared" si="21"/>
        <v>0.83636823469903898</v>
      </c>
      <c r="H638" s="47" t="s">
        <v>79</v>
      </c>
      <c r="I638" s="47">
        <v>2025</v>
      </c>
    </row>
    <row r="639" spans="1:9" x14ac:dyDescent="0.2">
      <c r="A639" s="47" t="str">
        <f t="shared" si="20"/>
        <v>234Mayo 2025</v>
      </c>
      <c r="B639" s="47">
        <v>18</v>
      </c>
      <c r="C639" s="47">
        <v>234</v>
      </c>
      <c r="D639" s="47" t="s">
        <v>18</v>
      </c>
      <c r="E639" s="48">
        <v>15407</v>
      </c>
      <c r="F639" s="48">
        <v>20107</v>
      </c>
      <c r="G639" s="56">
        <f t="shared" si="21"/>
        <v>0.76625055950663945</v>
      </c>
      <c r="H639" s="47" t="s">
        <v>79</v>
      </c>
      <c r="I639" s="47">
        <v>2025</v>
      </c>
    </row>
    <row r="640" spans="1:9" x14ac:dyDescent="0.2">
      <c r="A640" s="47" t="str">
        <f t="shared" si="20"/>
        <v>1557Mayo 2025</v>
      </c>
      <c r="B640" s="47">
        <v>19</v>
      </c>
      <c r="C640" s="47">
        <v>1557</v>
      </c>
      <c r="D640" s="47" t="s">
        <v>12</v>
      </c>
      <c r="E640" s="48">
        <v>5516</v>
      </c>
      <c r="F640" s="48">
        <v>7346</v>
      </c>
      <c r="G640" s="56">
        <f t="shared" si="21"/>
        <v>0.75088483528450856</v>
      </c>
      <c r="H640" s="47" t="s">
        <v>79</v>
      </c>
      <c r="I640" s="47">
        <v>2025</v>
      </c>
    </row>
    <row r="641" spans="1:9" x14ac:dyDescent="0.2">
      <c r="A641" s="47" t="str">
        <f t="shared" si="20"/>
        <v>243Mayo 2025</v>
      </c>
      <c r="B641" s="47">
        <v>20</v>
      </c>
      <c r="C641" s="47">
        <v>243</v>
      </c>
      <c r="D641" s="47" t="s">
        <v>34</v>
      </c>
      <c r="E641" s="48">
        <v>11387</v>
      </c>
      <c r="F641" s="48">
        <v>16146</v>
      </c>
      <c r="G641" s="56">
        <f t="shared" si="21"/>
        <v>0.70525207481729224</v>
      </c>
      <c r="H641" s="47" t="s">
        <v>79</v>
      </c>
      <c r="I641" s="47">
        <v>2025</v>
      </c>
    </row>
    <row r="642" spans="1:9" x14ac:dyDescent="0.2">
      <c r="A642" s="47" t="str">
        <f t="shared" si="20"/>
        <v>237Mayo 2025</v>
      </c>
      <c r="B642" s="47">
        <v>21</v>
      </c>
      <c r="C642" s="47">
        <v>237</v>
      </c>
      <c r="D642" s="47" t="s">
        <v>31</v>
      </c>
      <c r="E642" s="48">
        <v>17387</v>
      </c>
      <c r="F642" s="48">
        <v>25086</v>
      </c>
      <c r="G642" s="56">
        <f t="shared" si="21"/>
        <v>0.69309575061787454</v>
      </c>
      <c r="H642" s="47" t="s">
        <v>79</v>
      </c>
      <c r="I642" s="47">
        <v>2025</v>
      </c>
    </row>
    <row r="643" spans="1:9" x14ac:dyDescent="0.2">
      <c r="A643" s="47" t="str">
        <f t="shared" si="20"/>
        <v>28745Mayo 2025</v>
      </c>
      <c r="B643" s="47">
        <v>22</v>
      </c>
      <c r="C643" s="47">
        <v>28745</v>
      </c>
      <c r="D643" s="47" t="s">
        <v>6</v>
      </c>
      <c r="E643" s="48">
        <v>1976</v>
      </c>
      <c r="F643" s="48">
        <v>3169</v>
      </c>
      <c r="G643" s="56">
        <f t="shared" si="21"/>
        <v>0.62354054906910694</v>
      </c>
      <c r="H643" s="47" t="s">
        <v>79</v>
      </c>
      <c r="I643" s="47">
        <v>2025</v>
      </c>
    </row>
    <row r="644" spans="1:9" x14ac:dyDescent="0.2">
      <c r="A644" s="47" t="str">
        <f t="shared" si="20"/>
        <v>246Mayo 2025</v>
      </c>
      <c r="B644" s="47">
        <v>23</v>
      </c>
      <c r="C644" s="47">
        <v>246</v>
      </c>
      <c r="D644" s="47" t="s">
        <v>9</v>
      </c>
      <c r="E644" s="48">
        <v>7256</v>
      </c>
      <c r="F644" s="48">
        <v>12575</v>
      </c>
      <c r="G644" s="56">
        <f t="shared" si="21"/>
        <v>0.57701789264413517</v>
      </c>
      <c r="H644" s="47" t="s">
        <v>79</v>
      </c>
      <c r="I644" s="47">
        <v>2025</v>
      </c>
    </row>
    <row r="645" spans="1:9" x14ac:dyDescent="0.2">
      <c r="A645" s="47" t="str">
        <f t="shared" si="20"/>
        <v>12165Junio2025</v>
      </c>
      <c r="B645" s="47">
        <v>1</v>
      </c>
      <c r="C645" s="47">
        <v>12165</v>
      </c>
      <c r="D645" s="47" t="s">
        <v>66</v>
      </c>
      <c r="E645" s="48">
        <v>4340</v>
      </c>
      <c r="F645" s="48">
        <v>4470</v>
      </c>
      <c r="G645" s="56">
        <f t="shared" si="21"/>
        <v>0.970917225950783</v>
      </c>
      <c r="H645" s="47" t="s">
        <v>45</v>
      </c>
      <c r="I645" s="47">
        <v>2025</v>
      </c>
    </row>
    <row r="646" spans="1:9" x14ac:dyDescent="0.2">
      <c r="A646" s="47" t="str">
        <f t="shared" si="20"/>
        <v>11117Junio2025</v>
      </c>
      <c r="B646" s="47">
        <v>2</v>
      </c>
      <c r="C646" s="47">
        <v>11117</v>
      </c>
      <c r="D646" s="47" t="s">
        <v>15</v>
      </c>
      <c r="E646" s="48">
        <v>36940</v>
      </c>
      <c r="F646" s="48">
        <v>38546</v>
      </c>
      <c r="G646" s="56">
        <f t="shared" ref="G646:G709" si="22">E646/F646</f>
        <v>0.95833549525242567</v>
      </c>
      <c r="H646" s="47" t="s">
        <v>45</v>
      </c>
      <c r="I646" s="47">
        <v>2025</v>
      </c>
    </row>
    <row r="647" spans="1:9" x14ac:dyDescent="0.2">
      <c r="A647" s="47" t="str">
        <f t="shared" si="20"/>
        <v>11799Junio2025</v>
      </c>
      <c r="B647" s="47">
        <v>3</v>
      </c>
      <c r="C647" s="47">
        <v>11799</v>
      </c>
      <c r="D647" s="47" t="s">
        <v>21</v>
      </c>
      <c r="E647" s="48">
        <v>8976</v>
      </c>
      <c r="F647" s="48">
        <v>9358</v>
      </c>
      <c r="G647" s="56">
        <f t="shared" si="22"/>
        <v>0.9591793118187647</v>
      </c>
      <c r="H647" s="47" t="s">
        <v>45</v>
      </c>
      <c r="I647" s="47">
        <v>2025</v>
      </c>
    </row>
    <row r="648" spans="1:9" x14ac:dyDescent="0.2">
      <c r="A648" s="47" t="str">
        <f t="shared" si="20"/>
        <v>241Junio2025</v>
      </c>
      <c r="B648" s="47">
        <v>4</v>
      </c>
      <c r="C648" s="47">
        <v>241</v>
      </c>
      <c r="D648" s="47" t="s">
        <v>30</v>
      </c>
      <c r="E648" s="48">
        <v>8050</v>
      </c>
      <c r="F648" s="48">
        <v>8551</v>
      </c>
      <c r="G648" s="56">
        <f t="shared" si="22"/>
        <v>0.94141036136124434</v>
      </c>
      <c r="H648" s="47" t="s">
        <v>45</v>
      </c>
      <c r="I648" s="47">
        <v>2025</v>
      </c>
    </row>
    <row r="649" spans="1:9" x14ac:dyDescent="0.2">
      <c r="A649" s="47" t="str">
        <f t="shared" si="20"/>
        <v>240Junio2025</v>
      </c>
      <c r="B649" s="47">
        <v>5</v>
      </c>
      <c r="C649" s="47">
        <v>240</v>
      </c>
      <c r="D649" s="47" t="s">
        <v>23</v>
      </c>
      <c r="E649" s="48">
        <v>15742</v>
      </c>
      <c r="F649" s="48">
        <v>16938</v>
      </c>
      <c r="G649" s="56">
        <f t="shared" si="22"/>
        <v>0.92938953831621207</v>
      </c>
      <c r="H649" s="47" t="s">
        <v>45</v>
      </c>
      <c r="I649" s="47">
        <v>2025</v>
      </c>
    </row>
    <row r="650" spans="1:9" x14ac:dyDescent="0.2">
      <c r="A650" s="47" t="str">
        <f t="shared" si="20"/>
        <v>11882Junio2025</v>
      </c>
      <c r="B650" s="47">
        <v>6</v>
      </c>
      <c r="C650" s="47">
        <v>11882</v>
      </c>
      <c r="D650" s="47" t="s">
        <v>22</v>
      </c>
      <c r="E650" s="48">
        <v>5322</v>
      </c>
      <c r="F650" s="48">
        <v>5766</v>
      </c>
      <c r="G650" s="56">
        <f t="shared" si="22"/>
        <v>0.92299687825182097</v>
      </c>
      <c r="H650" s="47" t="s">
        <v>45</v>
      </c>
      <c r="I650" s="47">
        <v>2025</v>
      </c>
    </row>
    <row r="651" spans="1:9" x14ac:dyDescent="0.2">
      <c r="A651" s="47" t="str">
        <f t="shared" si="20"/>
        <v>236Junio2025</v>
      </c>
      <c r="B651" s="47">
        <v>7</v>
      </c>
      <c r="C651" s="47">
        <v>236</v>
      </c>
      <c r="D651" s="47" t="s">
        <v>25</v>
      </c>
      <c r="E651" s="48">
        <v>20475</v>
      </c>
      <c r="F651" s="48">
        <v>22332</v>
      </c>
      <c r="G651" s="56">
        <f t="shared" si="22"/>
        <v>0.9168457818377217</v>
      </c>
      <c r="H651" s="47" t="s">
        <v>45</v>
      </c>
      <c r="I651" s="47">
        <v>2025</v>
      </c>
    </row>
    <row r="652" spans="1:9" x14ac:dyDescent="0.2">
      <c r="A652" s="47" t="str">
        <f t="shared" si="20"/>
        <v>239Junio2025</v>
      </c>
      <c r="B652" s="47">
        <v>8</v>
      </c>
      <c r="C652" s="47">
        <v>239</v>
      </c>
      <c r="D652" s="47" t="s">
        <v>32</v>
      </c>
      <c r="E652" s="48">
        <v>18703</v>
      </c>
      <c r="F652" s="48">
        <v>20627</v>
      </c>
      <c r="G652" s="56">
        <f t="shared" si="22"/>
        <v>0.90672419644155722</v>
      </c>
      <c r="H652" s="47" t="s">
        <v>45</v>
      </c>
      <c r="I652" s="47">
        <v>2025</v>
      </c>
    </row>
    <row r="653" spans="1:9" x14ac:dyDescent="0.2">
      <c r="A653" s="47" t="str">
        <f t="shared" si="20"/>
        <v>10904Junio2025</v>
      </c>
      <c r="B653" s="47">
        <v>9</v>
      </c>
      <c r="C653" s="47">
        <v>10904</v>
      </c>
      <c r="D653" s="47" t="s">
        <v>29</v>
      </c>
      <c r="E653" s="48">
        <v>7704</v>
      </c>
      <c r="F653" s="48">
        <v>8519</v>
      </c>
      <c r="G653" s="56">
        <f t="shared" si="22"/>
        <v>0.90433149430684356</v>
      </c>
      <c r="H653" s="47" t="s">
        <v>45</v>
      </c>
      <c r="I653" s="47">
        <v>2025</v>
      </c>
    </row>
    <row r="654" spans="1:9" x14ac:dyDescent="0.2">
      <c r="A654" s="47" t="str">
        <f t="shared" si="20"/>
        <v>235Junio2025</v>
      </c>
      <c r="B654" s="47">
        <v>10</v>
      </c>
      <c r="C654" s="47">
        <v>235</v>
      </c>
      <c r="D654" s="47" t="s">
        <v>33</v>
      </c>
      <c r="E654" s="48">
        <v>11339</v>
      </c>
      <c r="F654" s="48">
        <v>12539</v>
      </c>
      <c r="G654" s="56">
        <f t="shared" si="22"/>
        <v>0.90429858840417898</v>
      </c>
      <c r="H654" s="47" t="s">
        <v>45</v>
      </c>
      <c r="I654" s="47">
        <v>2025</v>
      </c>
    </row>
    <row r="655" spans="1:9" x14ac:dyDescent="0.2">
      <c r="A655" s="47" t="str">
        <f t="shared" si="20"/>
        <v>12163Junio2025</v>
      </c>
      <c r="B655" s="47">
        <v>11</v>
      </c>
      <c r="C655" s="47">
        <v>12163</v>
      </c>
      <c r="D655" s="47" t="s">
        <v>67</v>
      </c>
      <c r="E655" s="48">
        <v>7989</v>
      </c>
      <c r="F655" s="48">
        <v>8944</v>
      </c>
      <c r="G655" s="56">
        <f t="shared" si="22"/>
        <v>0.89322450805008946</v>
      </c>
      <c r="H655" s="47" t="s">
        <v>45</v>
      </c>
      <c r="I655" s="47">
        <v>2025</v>
      </c>
    </row>
    <row r="656" spans="1:9" x14ac:dyDescent="0.2">
      <c r="A656" s="47" t="str">
        <f t="shared" si="20"/>
        <v>242Junio2025</v>
      </c>
      <c r="B656" s="47">
        <v>12</v>
      </c>
      <c r="C656" s="47">
        <v>242</v>
      </c>
      <c r="D656" s="47" t="s">
        <v>7</v>
      </c>
      <c r="E656" s="48">
        <v>9505</v>
      </c>
      <c r="F656" s="48">
        <v>10710</v>
      </c>
      <c r="G656" s="56">
        <f t="shared" si="22"/>
        <v>0.88748832866479921</v>
      </c>
      <c r="H656" s="47" t="s">
        <v>45</v>
      </c>
      <c r="I656" s="47">
        <v>2025</v>
      </c>
    </row>
    <row r="657" spans="1:9" x14ac:dyDescent="0.2">
      <c r="A657" s="47" t="str">
        <f t="shared" si="20"/>
        <v>238Junio2025</v>
      </c>
      <c r="B657" s="47">
        <v>13</v>
      </c>
      <c r="C657" s="47">
        <v>238</v>
      </c>
      <c r="D657" s="47" t="s">
        <v>35</v>
      </c>
      <c r="E657" s="48">
        <v>9838</v>
      </c>
      <c r="F657" s="48">
        <v>11159</v>
      </c>
      <c r="G657" s="56">
        <f t="shared" si="22"/>
        <v>0.88162021686531056</v>
      </c>
      <c r="H657" s="47" t="s">
        <v>45</v>
      </c>
      <c r="I657" s="47">
        <v>2025</v>
      </c>
    </row>
    <row r="658" spans="1:9" x14ac:dyDescent="0.2">
      <c r="A658" s="47" t="str">
        <f t="shared" si="20"/>
        <v>11931Junio2025</v>
      </c>
      <c r="B658" s="47">
        <v>14</v>
      </c>
      <c r="C658" s="47">
        <v>11931</v>
      </c>
      <c r="D658" s="47" t="s">
        <v>39</v>
      </c>
      <c r="E658" s="48">
        <v>10254</v>
      </c>
      <c r="F658" s="48">
        <v>11787</v>
      </c>
      <c r="G658" s="56">
        <f t="shared" si="22"/>
        <v>0.86994146093153479</v>
      </c>
      <c r="H658" s="47" t="s">
        <v>45</v>
      </c>
      <c r="I658" s="47">
        <v>2025</v>
      </c>
    </row>
    <row r="659" spans="1:9" x14ac:dyDescent="0.2">
      <c r="A659" s="47" t="str">
        <f t="shared" si="20"/>
        <v>10951Junio2025</v>
      </c>
      <c r="B659" s="47">
        <v>15</v>
      </c>
      <c r="C659" s="47">
        <v>10951</v>
      </c>
      <c r="D659" s="47" t="s">
        <v>24</v>
      </c>
      <c r="E659" s="48">
        <v>7198</v>
      </c>
      <c r="F659" s="48">
        <v>8409</v>
      </c>
      <c r="G659" s="56">
        <f t="shared" si="22"/>
        <v>0.85598763229872754</v>
      </c>
      <c r="H659" s="47" t="s">
        <v>45</v>
      </c>
      <c r="I659" s="47">
        <v>2025</v>
      </c>
    </row>
    <row r="660" spans="1:9" x14ac:dyDescent="0.2">
      <c r="A660" s="47" t="str">
        <f t="shared" si="20"/>
        <v>11116Junio2025</v>
      </c>
      <c r="B660" s="47">
        <v>16</v>
      </c>
      <c r="C660" s="47">
        <v>11116</v>
      </c>
      <c r="D660" s="47" t="s">
        <v>28</v>
      </c>
      <c r="E660" s="48">
        <v>44032</v>
      </c>
      <c r="F660" s="48">
        <v>51363</v>
      </c>
      <c r="G660" s="56">
        <f t="shared" si="22"/>
        <v>0.8572707980452855</v>
      </c>
      <c r="H660" s="47" t="s">
        <v>45</v>
      </c>
      <c r="I660" s="47">
        <v>2025</v>
      </c>
    </row>
    <row r="661" spans="1:9" x14ac:dyDescent="0.2">
      <c r="A661" s="47" t="str">
        <f t="shared" si="20"/>
        <v>12166Junio2025</v>
      </c>
      <c r="B661" s="47">
        <v>17</v>
      </c>
      <c r="C661" s="47">
        <v>12166</v>
      </c>
      <c r="D661" s="47" t="s">
        <v>65</v>
      </c>
      <c r="E661" s="48">
        <v>7866</v>
      </c>
      <c r="F661" s="48">
        <v>9498</v>
      </c>
      <c r="G661" s="56">
        <f t="shared" si="22"/>
        <v>0.82817435249526217</v>
      </c>
      <c r="H661" s="47" t="s">
        <v>45</v>
      </c>
      <c r="I661" s="47">
        <v>2025</v>
      </c>
    </row>
    <row r="662" spans="1:9" x14ac:dyDescent="0.2">
      <c r="A662" s="47" t="str">
        <f t="shared" si="20"/>
        <v>234Junio2025</v>
      </c>
      <c r="B662" s="47">
        <v>18</v>
      </c>
      <c r="C662" s="47">
        <v>234</v>
      </c>
      <c r="D662" s="47" t="s">
        <v>18</v>
      </c>
      <c r="E662" s="48">
        <v>18870</v>
      </c>
      <c r="F662" s="48">
        <v>23794</v>
      </c>
      <c r="G662" s="56">
        <f t="shared" si="22"/>
        <v>0.79305707321173402</v>
      </c>
      <c r="H662" s="47" t="s">
        <v>45</v>
      </c>
      <c r="I662" s="47">
        <v>2025</v>
      </c>
    </row>
    <row r="663" spans="1:9" x14ac:dyDescent="0.2">
      <c r="A663" s="47" t="str">
        <f t="shared" si="20"/>
        <v>1557Junio2025</v>
      </c>
      <c r="B663" s="47">
        <v>19</v>
      </c>
      <c r="C663" s="47">
        <v>1557</v>
      </c>
      <c r="D663" s="47" t="s">
        <v>12</v>
      </c>
      <c r="E663" s="48">
        <v>6632</v>
      </c>
      <c r="F663" s="48">
        <v>8579</v>
      </c>
      <c r="G663" s="56">
        <f t="shared" si="22"/>
        <v>0.77305047208299338</v>
      </c>
      <c r="H663" s="47" t="s">
        <v>45</v>
      </c>
      <c r="I663" s="47">
        <v>2025</v>
      </c>
    </row>
    <row r="664" spans="1:9" x14ac:dyDescent="0.2">
      <c r="A664" s="47" t="str">
        <f t="shared" si="20"/>
        <v>243Junio2025</v>
      </c>
      <c r="B664" s="47">
        <v>20</v>
      </c>
      <c r="C664" s="47">
        <v>243</v>
      </c>
      <c r="D664" s="47" t="s">
        <v>34</v>
      </c>
      <c r="E664" s="48">
        <v>13895</v>
      </c>
      <c r="F664" s="48">
        <v>19632</v>
      </c>
      <c r="G664" s="56">
        <f t="shared" si="22"/>
        <v>0.70777302363488181</v>
      </c>
      <c r="H664" s="47" t="s">
        <v>45</v>
      </c>
      <c r="I664" s="47">
        <v>2025</v>
      </c>
    </row>
    <row r="665" spans="1:9" x14ac:dyDescent="0.2">
      <c r="A665" s="47" t="str">
        <f t="shared" si="20"/>
        <v>237Junio2025</v>
      </c>
      <c r="B665" s="47">
        <v>21</v>
      </c>
      <c r="C665" s="47">
        <v>237</v>
      </c>
      <c r="D665" s="47" t="s">
        <v>31</v>
      </c>
      <c r="E665" s="48">
        <v>20546</v>
      </c>
      <c r="F665" s="48">
        <v>29745</v>
      </c>
      <c r="G665" s="56">
        <f t="shared" si="22"/>
        <v>0.69073793914943693</v>
      </c>
      <c r="H665" s="47" t="s">
        <v>45</v>
      </c>
      <c r="I665" s="47">
        <v>2025</v>
      </c>
    </row>
    <row r="666" spans="1:9" x14ac:dyDescent="0.2">
      <c r="A666" s="47" t="str">
        <f t="shared" si="20"/>
        <v>28745Junio2025</v>
      </c>
      <c r="B666" s="47">
        <v>22</v>
      </c>
      <c r="C666" s="47">
        <v>28745</v>
      </c>
      <c r="D666" s="47" t="s">
        <v>6</v>
      </c>
      <c r="E666" s="48">
        <v>2228</v>
      </c>
      <c r="F666" s="48">
        <v>3548</v>
      </c>
      <c r="G666" s="56">
        <f t="shared" si="22"/>
        <v>0.6279594137542277</v>
      </c>
      <c r="H666" s="47" t="s">
        <v>45</v>
      </c>
      <c r="I666" s="47">
        <v>2025</v>
      </c>
    </row>
    <row r="667" spans="1:9" x14ac:dyDescent="0.2">
      <c r="A667" s="47" t="str">
        <f t="shared" si="20"/>
        <v>246Junio2025</v>
      </c>
      <c r="B667" s="47">
        <v>23</v>
      </c>
      <c r="C667" s="47">
        <v>246</v>
      </c>
      <c r="D667" s="47" t="s">
        <v>9</v>
      </c>
      <c r="E667" s="48">
        <v>8460</v>
      </c>
      <c r="F667" s="48">
        <v>14921</v>
      </c>
      <c r="G667" s="56">
        <f t="shared" si="22"/>
        <v>0.56698612693519201</v>
      </c>
      <c r="H667" s="47" t="s">
        <v>45</v>
      </c>
      <c r="I667" s="47">
        <v>2025</v>
      </c>
    </row>
    <row r="668" spans="1:9" x14ac:dyDescent="0.2">
      <c r="A668" s="47" t="str">
        <f t="shared" si="20"/>
        <v>12165Julio2025</v>
      </c>
      <c r="B668" s="47">
        <v>1</v>
      </c>
      <c r="C668" s="47">
        <v>12165</v>
      </c>
      <c r="D668" s="47" t="s">
        <v>66</v>
      </c>
      <c r="E668" s="48">
        <v>5226</v>
      </c>
      <c r="F668" s="48">
        <v>5364</v>
      </c>
      <c r="G668" s="56">
        <f t="shared" si="22"/>
        <v>0.97427293064876952</v>
      </c>
      <c r="H668" s="47" t="s">
        <v>46</v>
      </c>
      <c r="I668" s="47">
        <v>2025</v>
      </c>
    </row>
    <row r="669" spans="1:9" x14ac:dyDescent="0.2">
      <c r="A669" s="47" t="str">
        <f t="shared" si="20"/>
        <v>11117Julio2025</v>
      </c>
      <c r="B669" s="47">
        <v>2</v>
      </c>
      <c r="C669" s="47">
        <v>11117</v>
      </c>
      <c r="D669" s="47" t="s">
        <v>15</v>
      </c>
      <c r="E669" s="48">
        <v>43545</v>
      </c>
      <c r="F669" s="48">
        <v>45342</v>
      </c>
      <c r="G669" s="56">
        <f t="shared" si="22"/>
        <v>0.96036787084822017</v>
      </c>
      <c r="H669" s="47" t="s">
        <v>46</v>
      </c>
      <c r="I669" s="47">
        <v>2025</v>
      </c>
    </row>
    <row r="670" spans="1:9" x14ac:dyDescent="0.2">
      <c r="A670" s="47" t="str">
        <f t="shared" si="20"/>
        <v>11799Julio2025</v>
      </c>
      <c r="B670" s="47">
        <v>3</v>
      </c>
      <c r="C670" s="47">
        <v>11799</v>
      </c>
      <c r="D670" s="47" t="s">
        <v>21</v>
      </c>
      <c r="E670" s="48">
        <v>10298</v>
      </c>
      <c r="F670" s="48">
        <v>10901</v>
      </c>
      <c r="G670" s="56">
        <f t="shared" si="22"/>
        <v>0.94468397394734427</v>
      </c>
      <c r="H670" s="47" t="s">
        <v>46</v>
      </c>
      <c r="I670" s="47">
        <v>2025</v>
      </c>
    </row>
    <row r="671" spans="1:9" x14ac:dyDescent="0.2">
      <c r="A671" s="47" t="str">
        <f t="shared" si="20"/>
        <v>241Julio2025</v>
      </c>
      <c r="B671" s="47">
        <v>4</v>
      </c>
      <c r="C671" s="47">
        <v>241</v>
      </c>
      <c r="D671" s="47" t="s">
        <v>30</v>
      </c>
      <c r="E671" s="48">
        <v>8299</v>
      </c>
      <c r="F671" s="48">
        <v>8800</v>
      </c>
      <c r="G671" s="56">
        <f t="shared" si="22"/>
        <v>0.94306818181818186</v>
      </c>
      <c r="H671" s="47" t="s">
        <v>46</v>
      </c>
      <c r="I671" s="47">
        <v>2025</v>
      </c>
    </row>
    <row r="672" spans="1:9" x14ac:dyDescent="0.2">
      <c r="A672" s="47" t="str">
        <f t="shared" si="20"/>
        <v>11882Julio2025</v>
      </c>
      <c r="B672" s="47">
        <v>5</v>
      </c>
      <c r="C672" s="47">
        <v>11882</v>
      </c>
      <c r="D672" s="47" t="s">
        <v>22</v>
      </c>
      <c r="E672" s="48">
        <v>6507</v>
      </c>
      <c r="F672" s="48">
        <v>7002</v>
      </c>
      <c r="G672" s="56">
        <f t="shared" si="22"/>
        <v>0.92930591259640105</v>
      </c>
      <c r="H672" s="47" t="s">
        <v>46</v>
      </c>
      <c r="I672" s="47">
        <v>2025</v>
      </c>
    </row>
    <row r="673" spans="1:9" x14ac:dyDescent="0.2">
      <c r="A673" s="47" t="str">
        <f t="shared" si="20"/>
        <v>236Julio2025</v>
      </c>
      <c r="B673" s="47">
        <v>6</v>
      </c>
      <c r="C673" s="47">
        <v>236</v>
      </c>
      <c r="D673" s="47" t="s">
        <v>25</v>
      </c>
      <c r="E673" s="48">
        <v>23106</v>
      </c>
      <c r="F673" s="48">
        <v>25249</v>
      </c>
      <c r="G673" s="56">
        <f t="shared" si="22"/>
        <v>0.91512535149906926</v>
      </c>
      <c r="H673" s="47" t="s">
        <v>46</v>
      </c>
      <c r="I673" s="47">
        <v>2025</v>
      </c>
    </row>
    <row r="674" spans="1:9" x14ac:dyDescent="0.2">
      <c r="A674" s="47" t="str">
        <f t="shared" ref="A674:A738" si="23">C674&amp;H674&amp;I674</f>
        <v>240Julio2025</v>
      </c>
      <c r="B674" s="47">
        <v>7</v>
      </c>
      <c r="C674" s="47">
        <v>240</v>
      </c>
      <c r="D674" s="47" t="s">
        <v>23</v>
      </c>
      <c r="E674" s="48">
        <v>18424</v>
      </c>
      <c r="F674" s="48">
        <v>19952</v>
      </c>
      <c r="G674" s="56">
        <f t="shared" si="22"/>
        <v>0.92341619887730553</v>
      </c>
      <c r="H674" s="47" t="s">
        <v>46</v>
      </c>
      <c r="I674" s="47">
        <v>2025</v>
      </c>
    </row>
    <row r="675" spans="1:9" x14ac:dyDescent="0.2">
      <c r="A675" s="47" t="str">
        <f t="shared" si="23"/>
        <v>12163Julio2025</v>
      </c>
      <c r="B675" s="47">
        <v>8</v>
      </c>
      <c r="C675" s="47">
        <v>12163</v>
      </c>
      <c r="D675" s="47" t="s">
        <v>67</v>
      </c>
      <c r="E675" s="48">
        <v>9591</v>
      </c>
      <c r="F675" s="48">
        <v>10587</v>
      </c>
      <c r="G675" s="56">
        <f t="shared" si="22"/>
        <v>0.90592235760838768</v>
      </c>
      <c r="H675" s="47" t="s">
        <v>46</v>
      </c>
      <c r="I675" s="47">
        <v>2025</v>
      </c>
    </row>
    <row r="676" spans="1:9" x14ac:dyDescent="0.2">
      <c r="A676" s="47" t="str">
        <f t="shared" si="23"/>
        <v>235Julio2025</v>
      </c>
      <c r="B676" s="47">
        <v>9</v>
      </c>
      <c r="C676" s="47">
        <v>235</v>
      </c>
      <c r="D676" s="47" t="s">
        <v>33</v>
      </c>
      <c r="E676" s="48">
        <v>12816</v>
      </c>
      <c r="F676" s="48">
        <v>14042</v>
      </c>
      <c r="G676" s="56">
        <f t="shared" si="22"/>
        <v>0.91269049992878504</v>
      </c>
      <c r="H676" s="47" t="s">
        <v>46</v>
      </c>
      <c r="I676" s="47">
        <v>2025</v>
      </c>
    </row>
    <row r="677" spans="1:9" x14ac:dyDescent="0.2">
      <c r="A677" s="47" t="str">
        <f t="shared" si="23"/>
        <v>239Julio2025</v>
      </c>
      <c r="B677" s="47">
        <v>10</v>
      </c>
      <c r="C677" s="47">
        <v>239</v>
      </c>
      <c r="D677" s="47" t="s">
        <v>32</v>
      </c>
      <c r="E677" s="48">
        <v>20418</v>
      </c>
      <c r="F677" s="48">
        <v>22494</v>
      </c>
      <c r="G677" s="56">
        <f t="shared" si="22"/>
        <v>0.90770872232595357</v>
      </c>
      <c r="H677" s="47" t="s">
        <v>46</v>
      </c>
      <c r="I677" s="47">
        <v>2025</v>
      </c>
    </row>
    <row r="678" spans="1:9" x14ac:dyDescent="0.2">
      <c r="A678" s="47" t="str">
        <f t="shared" si="23"/>
        <v>10904Julio2025</v>
      </c>
      <c r="B678" s="47">
        <v>11</v>
      </c>
      <c r="C678" s="47">
        <v>10904</v>
      </c>
      <c r="D678" s="47" t="s">
        <v>29</v>
      </c>
      <c r="E678" s="48">
        <v>8656</v>
      </c>
      <c r="F678" s="48">
        <v>9574</v>
      </c>
      <c r="G678" s="56">
        <f t="shared" si="22"/>
        <v>0.90411531230415709</v>
      </c>
      <c r="H678" s="47" t="s">
        <v>46</v>
      </c>
      <c r="I678" s="47">
        <v>2025</v>
      </c>
    </row>
    <row r="679" spans="1:9" x14ac:dyDescent="0.2">
      <c r="A679" s="47" t="str">
        <f t="shared" si="23"/>
        <v>242Julio2025</v>
      </c>
      <c r="B679" s="47">
        <v>12</v>
      </c>
      <c r="C679" s="47">
        <v>242</v>
      </c>
      <c r="D679" s="47" t="s">
        <v>7</v>
      </c>
      <c r="E679" s="48">
        <v>11074</v>
      </c>
      <c r="F679" s="48">
        <v>12360</v>
      </c>
      <c r="G679" s="56">
        <f t="shared" si="22"/>
        <v>0.89595469255663429</v>
      </c>
      <c r="H679" s="47" t="s">
        <v>46</v>
      </c>
      <c r="I679" s="47">
        <v>2025</v>
      </c>
    </row>
    <row r="680" spans="1:9" x14ac:dyDescent="0.2">
      <c r="A680" s="47" t="str">
        <f t="shared" si="23"/>
        <v>238Julio2025</v>
      </c>
      <c r="B680" s="47">
        <v>13</v>
      </c>
      <c r="C680" s="47">
        <v>238</v>
      </c>
      <c r="D680" s="47" t="s">
        <v>35</v>
      </c>
      <c r="E680" s="48">
        <v>11616</v>
      </c>
      <c r="F680" s="48">
        <v>13033</v>
      </c>
      <c r="G680" s="56">
        <f t="shared" si="22"/>
        <v>0.89127599171334304</v>
      </c>
      <c r="H680" s="47" t="s">
        <v>46</v>
      </c>
      <c r="I680" s="47">
        <v>2025</v>
      </c>
    </row>
    <row r="681" spans="1:9" x14ac:dyDescent="0.2">
      <c r="A681" s="47" t="str">
        <f t="shared" si="23"/>
        <v>11931Julio2025</v>
      </c>
      <c r="B681" s="47">
        <v>14</v>
      </c>
      <c r="C681" s="47">
        <v>11931</v>
      </c>
      <c r="D681" s="47" t="s">
        <v>39</v>
      </c>
      <c r="E681" s="48">
        <v>11965</v>
      </c>
      <c r="F681" s="48">
        <v>13808</v>
      </c>
      <c r="G681" s="56">
        <f t="shared" si="22"/>
        <v>0.86652665121668593</v>
      </c>
      <c r="H681" s="47" t="s">
        <v>46</v>
      </c>
      <c r="I681" s="47">
        <v>2025</v>
      </c>
    </row>
    <row r="682" spans="1:9" x14ac:dyDescent="0.2">
      <c r="A682" s="47" t="str">
        <f t="shared" si="23"/>
        <v>10951Julio2025</v>
      </c>
      <c r="B682" s="47">
        <v>15</v>
      </c>
      <c r="C682" s="47">
        <v>10951</v>
      </c>
      <c r="D682" s="47" t="s">
        <v>24</v>
      </c>
      <c r="E682" s="48">
        <v>8560</v>
      </c>
      <c r="F682" s="48">
        <v>10077</v>
      </c>
      <c r="G682" s="56">
        <f t="shared" si="22"/>
        <v>0.84945916443385927</v>
      </c>
      <c r="H682" s="47" t="s">
        <v>46</v>
      </c>
      <c r="I682" s="47">
        <v>2025</v>
      </c>
    </row>
    <row r="683" spans="1:9" x14ac:dyDescent="0.2">
      <c r="A683" s="47" t="str">
        <f t="shared" si="23"/>
        <v>11116Julio2025</v>
      </c>
      <c r="B683" s="47">
        <v>16</v>
      </c>
      <c r="C683" s="47">
        <v>11116</v>
      </c>
      <c r="D683" s="47" t="s">
        <v>28</v>
      </c>
      <c r="E683" s="48">
        <v>52076</v>
      </c>
      <c r="F683" s="48">
        <v>61057</v>
      </c>
      <c r="G683" s="56">
        <f t="shared" si="22"/>
        <v>0.85290793848371194</v>
      </c>
      <c r="H683" s="47" t="s">
        <v>46</v>
      </c>
      <c r="I683" s="47">
        <v>2025</v>
      </c>
    </row>
    <row r="684" spans="1:9" x14ac:dyDescent="0.2">
      <c r="A684" s="47" t="str">
        <f t="shared" si="23"/>
        <v>234Julio2025</v>
      </c>
      <c r="B684" s="47">
        <v>17</v>
      </c>
      <c r="C684" s="47">
        <v>234</v>
      </c>
      <c r="D684" s="47" t="s">
        <v>18</v>
      </c>
      <c r="E684" s="48">
        <v>22194</v>
      </c>
      <c r="F684" s="48">
        <v>27216</v>
      </c>
      <c r="G684" s="56">
        <f t="shared" si="22"/>
        <v>0.81547619047619047</v>
      </c>
      <c r="H684" s="47" t="s">
        <v>46</v>
      </c>
      <c r="I684" s="47">
        <v>2025</v>
      </c>
    </row>
    <row r="685" spans="1:9" x14ac:dyDescent="0.2">
      <c r="A685" s="47" t="str">
        <f t="shared" si="23"/>
        <v>12166Julio2025</v>
      </c>
      <c r="B685" s="47">
        <v>18</v>
      </c>
      <c r="C685" s="47">
        <v>12166</v>
      </c>
      <c r="D685" s="47" t="s">
        <v>65</v>
      </c>
      <c r="E685" s="48">
        <v>9091</v>
      </c>
      <c r="F685" s="48">
        <v>11326</v>
      </c>
      <c r="G685" s="56">
        <f t="shared" si="22"/>
        <v>0.80266643122020132</v>
      </c>
      <c r="H685" s="47" t="s">
        <v>46</v>
      </c>
      <c r="I685" s="47">
        <v>2025</v>
      </c>
    </row>
    <row r="686" spans="1:9" x14ac:dyDescent="0.2">
      <c r="A686" s="47" t="str">
        <f t="shared" si="23"/>
        <v>1557Julio2025</v>
      </c>
      <c r="B686" s="47">
        <v>19</v>
      </c>
      <c r="C686" s="47">
        <v>1557</v>
      </c>
      <c r="D686" s="47" t="s">
        <v>12</v>
      </c>
      <c r="E686" s="48">
        <v>7590</v>
      </c>
      <c r="F686" s="48">
        <v>9807</v>
      </c>
      <c r="G686" s="56">
        <f t="shared" si="22"/>
        <v>0.77393698378709086</v>
      </c>
      <c r="H686" s="47" t="s">
        <v>46</v>
      </c>
      <c r="I686" s="47">
        <v>2025</v>
      </c>
    </row>
    <row r="687" spans="1:9" x14ac:dyDescent="0.2">
      <c r="A687" s="47" t="str">
        <f t="shared" si="23"/>
        <v>243Julio2025</v>
      </c>
      <c r="B687" s="47">
        <v>20</v>
      </c>
      <c r="C687" s="47">
        <v>243</v>
      </c>
      <c r="D687" s="47" t="s">
        <v>34</v>
      </c>
      <c r="E687" s="48">
        <v>16313</v>
      </c>
      <c r="F687" s="48">
        <v>22410</v>
      </c>
      <c r="G687" s="56">
        <f t="shared" si="22"/>
        <v>0.72793395805443994</v>
      </c>
      <c r="H687" s="47" t="s">
        <v>46</v>
      </c>
      <c r="I687" s="47">
        <v>2025</v>
      </c>
    </row>
    <row r="688" spans="1:9" x14ac:dyDescent="0.2">
      <c r="A688" s="47" t="str">
        <f t="shared" si="23"/>
        <v>237Julio2025</v>
      </c>
      <c r="B688" s="47">
        <v>21</v>
      </c>
      <c r="C688" s="47">
        <v>237</v>
      </c>
      <c r="D688" s="47" t="s">
        <v>31</v>
      </c>
      <c r="E688" s="48">
        <v>24009</v>
      </c>
      <c r="F688" s="48">
        <v>34090</v>
      </c>
      <c r="G688" s="56">
        <f t="shared" si="22"/>
        <v>0.70428278087415663</v>
      </c>
      <c r="H688" s="47" t="s">
        <v>46</v>
      </c>
      <c r="I688" s="47">
        <v>2025</v>
      </c>
    </row>
    <row r="689" spans="1:9" x14ac:dyDescent="0.2">
      <c r="A689" s="47" t="str">
        <f t="shared" si="23"/>
        <v>28745Julio2025</v>
      </c>
      <c r="B689" s="47">
        <v>22</v>
      </c>
      <c r="C689" s="47">
        <v>28745</v>
      </c>
      <c r="D689" s="47" t="s">
        <v>6</v>
      </c>
      <c r="E689" s="48">
        <v>2672</v>
      </c>
      <c r="F689" s="48">
        <v>4085</v>
      </c>
      <c r="G689" s="56">
        <f t="shared" si="22"/>
        <v>0.65410036719706244</v>
      </c>
      <c r="H689" s="47" t="s">
        <v>46</v>
      </c>
      <c r="I689" s="47">
        <v>2025</v>
      </c>
    </row>
    <row r="690" spans="1:9" x14ac:dyDescent="0.2">
      <c r="A690" s="47" t="str">
        <f t="shared" si="23"/>
        <v>246Julio2025</v>
      </c>
      <c r="B690" s="47">
        <v>23</v>
      </c>
      <c r="C690" s="47">
        <v>246</v>
      </c>
      <c r="D690" s="47" t="s">
        <v>9</v>
      </c>
      <c r="E690" s="48">
        <v>10025</v>
      </c>
      <c r="F690" s="48">
        <v>17689</v>
      </c>
      <c r="G690" s="56">
        <f t="shared" si="22"/>
        <v>0.56673638984679742</v>
      </c>
      <c r="H690" s="47" t="s">
        <v>46</v>
      </c>
      <c r="I690" s="47">
        <v>2025</v>
      </c>
    </row>
    <row r="691" spans="1:9" x14ac:dyDescent="0.2">
      <c r="A691" s="47" t="str">
        <f t="shared" si="23"/>
        <v>12165Agosto2025</v>
      </c>
      <c r="B691" s="47">
        <v>1</v>
      </c>
      <c r="C691" s="47">
        <v>12165</v>
      </c>
      <c r="D691" s="47" t="s">
        <v>66</v>
      </c>
      <c r="E691" s="48">
        <v>5972</v>
      </c>
      <c r="F691" s="48">
        <v>6162</v>
      </c>
      <c r="G691" s="56">
        <f t="shared" si="22"/>
        <v>0.96916585524180465</v>
      </c>
      <c r="H691" s="47" t="s">
        <v>47</v>
      </c>
      <c r="I691" s="47">
        <v>2025</v>
      </c>
    </row>
    <row r="692" spans="1:9" x14ac:dyDescent="0.2">
      <c r="A692" s="47" t="str">
        <f t="shared" si="23"/>
        <v>11117Agosto2025</v>
      </c>
      <c r="B692" s="47">
        <v>2</v>
      </c>
      <c r="C692" s="47">
        <v>11117</v>
      </c>
      <c r="D692" s="47" t="s">
        <v>15</v>
      </c>
      <c r="E692" s="48">
        <v>48536</v>
      </c>
      <c r="F692" s="48">
        <v>50582</v>
      </c>
      <c r="G692" s="56">
        <f t="shared" si="22"/>
        <v>0.95955082835791383</v>
      </c>
      <c r="H692" s="47" t="s">
        <v>47</v>
      </c>
      <c r="I692" s="47">
        <v>2025</v>
      </c>
    </row>
    <row r="693" spans="1:9" x14ac:dyDescent="0.2">
      <c r="A693" s="47" t="str">
        <f t="shared" si="23"/>
        <v>11799Agosto2025</v>
      </c>
      <c r="B693" s="47">
        <v>3</v>
      </c>
      <c r="C693" s="47">
        <v>11799</v>
      </c>
      <c r="D693" s="47" t="s">
        <v>21</v>
      </c>
      <c r="E693" s="48">
        <v>11470</v>
      </c>
      <c r="F693" s="48">
        <v>12157</v>
      </c>
      <c r="G693" s="56">
        <f t="shared" si="22"/>
        <v>0.94348934770091308</v>
      </c>
      <c r="H693" s="47" t="s">
        <v>47</v>
      </c>
      <c r="I693" s="47">
        <v>2025</v>
      </c>
    </row>
    <row r="694" spans="1:9" x14ac:dyDescent="0.2">
      <c r="A694" s="47" t="str">
        <f t="shared" si="23"/>
        <v>11882Agosto2025</v>
      </c>
      <c r="B694" s="47">
        <v>4</v>
      </c>
      <c r="C694" s="47">
        <v>11882</v>
      </c>
      <c r="D694" s="47" t="s">
        <v>22</v>
      </c>
      <c r="E694" s="48">
        <v>7543</v>
      </c>
      <c r="F694" s="48">
        <v>8045</v>
      </c>
      <c r="G694" s="56">
        <f t="shared" si="22"/>
        <v>0.93760099440646361</v>
      </c>
      <c r="H694" s="47" t="s">
        <v>47</v>
      </c>
      <c r="I694" s="47">
        <v>2025</v>
      </c>
    </row>
    <row r="695" spans="1:9" x14ac:dyDescent="0.2">
      <c r="A695" s="47" t="str">
        <f t="shared" si="23"/>
        <v>241Agosto2025</v>
      </c>
      <c r="B695" s="47">
        <v>5</v>
      </c>
      <c r="C695" s="47">
        <v>241</v>
      </c>
      <c r="D695" s="47" t="s">
        <v>30</v>
      </c>
      <c r="E695" s="48">
        <v>9064</v>
      </c>
      <c r="F695" s="48">
        <v>9607</v>
      </c>
      <c r="G695" s="56">
        <f t="shared" si="22"/>
        <v>0.94347871343811807</v>
      </c>
      <c r="H695" s="47" t="s">
        <v>47</v>
      </c>
      <c r="I695" s="47">
        <v>2025</v>
      </c>
    </row>
    <row r="696" spans="1:9" x14ac:dyDescent="0.2">
      <c r="A696" s="47" t="str">
        <f t="shared" si="23"/>
        <v>240Agosto2025</v>
      </c>
      <c r="B696" s="47">
        <v>6</v>
      </c>
      <c r="C696" s="47">
        <v>240</v>
      </c>
      <c r="D696" s="47" t="s">
        <v>23</v>
      </c>
      <c r="E696" s="48">
        <v>20458</v>
      </c>
      <c r="F696" s="48">
        <v>22074</v>
      </c>
      <c r="G696" s="56">
        <f t="shared" si="22"/>
        <v>0.92679170064329075</v>
      </c>
      <c r="H696" s="47" t="s">
        <v>47</v>
      </c>
      <c r="I696" s="47">
        <v>2025</v>
      </c>
    </row>
    <row r="697" spans="1:9" x14ac:dyDescent="0.2">
      <c r="A697" s="47" t="str">
        <f t="shared" si="23"/>
        <v>235Agosto2025</v>
      </c>
      <c r="B697" s="47">
        <v>7</v>
      </c>
      <c r="C697" s="47">
        <v>235</v>
      </c>
      <c r="D697" s="47" t="s">
        <v>33</v>
      </c>
      <c r="E697" s="48">
        <v>14042</v>
      </c>
      <c r="F697" s="48">
        <v>15329</v>
      </c>
      <c r="G697" s="56">
        <f t="shared" si="22"/>
        <v>0.91604148998630053</v>
      </c>
      <c r="H697" s="47" t="s">
        <v>47</v>
      </c>
      <c r="I697" s="47">
        <v>2025</v>
      </c>
    </row>
    <row r="698" spans="1:9" x14ac:dyDescent="0.2">
      <c r="A698" s="47" t="str">
        <f t="shared" si="23"/>
        <v>236Agosto2025</v>
      </c>
      <c r="B698" s="47">
        <v>8</v>
      </c>
      <c r="C698" s="47">
        <v>236</v>
      </c>
      <c r="D698" s="47" t="s">
        <v>25</v>
      </c>
      <c r="E698" s="48">
        <v>24825</v>
      </c>
      <c r="F698" s="48">
        <v>27086</v>
      </c>
      <c r="G698" s="56">
        <f t="shared" si="22"/>
        <v>0.91652514213985081</v>
      </c>
      <c r="H698" s="47" t="s">
        <v>47</v>
      </c>
      <c r="I698" s="47">
        <v>2025</v>
      </c>
    </row>
    <row r="699" spans="1:9" x14ac:dyDescent="0.2">
      <c r="A699" s="47" t="str">
        <f t="shared" si="23"/>
        <v>10904Agosto2025</v>
      </c>
      <c r="B699" s="47">
        <v>9</v>
      </c>
      <c r="C699" s="47">
        <v>10904</v>
      </c>
      <c r="D699" s="47" t="s">
        <v>29</v>
      </c>
      <c r="E699" s="48">
        <v>9653</v>
      </c>
      <c r="F699" s="48">
        <v>10611</v>
      </c>
      <c r="G699" s="56">
        <f t="shared" si="22"/>
        <v>0.90971633210818958</v>
      </c>
      <c r="H699" s="47" t="s">
        <v>47</v>
      </c>
      <c r="I699" s="47">
        <v>2025</v>
      </c>
    </row>
    <row r="700" spans="1:9" x14ac:dyDescent="0.2">
      <c r="A700" s="47" t="str">
        <f t="shared" si="23"/>
        <v>12163Agosto2025</v>
      </c>
      <c r="B700" s="47">
        <v>10</v>
      </c>
      <c r="C700" s="47">
        <v>12163</v>
      </c>
      <c r="D700" s="47" t="s">
        <v>67</v>
      </c>
      <c r="E700" s="48">
        <v>10819</v>
      </c>
      <c r="F700" s="48">
        <v>11860</v>
      </c>
      <c r="G700" s="56">
        <f t="shared" si="22"/>
        <v>0.91222596964586844</v>
      </c>
      <c r="H700" s="47" t="s">
        <v>47</v>
      </c>
      <c r="I700" s="47">
        <v>2025</v>
      </c>
    </row>
    <row r="701" spans="1:9" x14ac:dyDescent="0.2">
      <c r="A701" s="47" t="str">
        <f t="shared" si="23"/>
        <v>238Agosto2025</v>
      </c>
      <c r="B701" s="47">
        <v>11</v>
      </c>
      <c r="C701" s="47">
        <v>238</v>
      </c>
      <c r="D701" s="47" t="s">
        <v>35</v>
      </c>
      <c r="E701" s="48">
        <v>13209</v>
      </c>
      <c r="F701" s="48">
        <v>14711</v>
      </c>
      <c r="G701" s="56">
        <f t="shared" si="22"/>
        <v>0.89789953096322483</v>
      </c>
      <c r="H701" s="47" t="s">
        <v>47</v>
      </c>
      <c r="I701" s="47">
        <v>2025</v>
      </c>
    </row>
    <row r="702" spans="1:9" x14ac:dyDescent="0.2">
      <c r="A702" s="47" t="str">
        <f t="shared" si="23"/>
        <v>239Agosto2025</v>
      </c>
      <c r="B702" s="47">
        <v>12</v>
      </c>
      <c r="C702" s="47">
        <v>239</v>
      </c>
      <c r="D702" s="47" t="s">
        <v>32</v>
      </c>
      <c r="E702" s="48">
        <v>23397</v>
      </c>
      <c r="F702" s="48">
        <v>25860</v>
      </c>
      <c r="G702" s="56">
        <f t="shared" si="22"/>
        <v>0.90475638051044083</v>
      </c>
      <c r="H702" s="47" t="s">
        <v>47</v>
      </c>
      <c r="I702" s="47">
        <v>2025</v>
      </c>
    </row>
    <row r="703" spans="1:9" x14ac:dyDescent="0.2">
      <c r="A703" s="47" t="str">
        <f t="shared" si="23"/>
        <v>242Agosto2025</v>
      </c>
      <c r="B703" s="47">
        <v>13</v>
      </c>
      <c r="C703" s="47">
        <v>242</v>
      </c>
      <c r="D703" s="47" t="s">
        <v>7</v>
      </c>
      <c r="E703" s="48">
        <v>12705</v>
      </c>
      <c r="F703" s="48">
        <v>14189</v>
      </c>
      <c r="G703" s="56">
        <f t="shared" si="22"/>
        <v>0.89541193882585102</v>
      </c>
      <c r="H703" s="47" t="s">
        <v>47</v>
      </c>
      <c r="I703" s="47">
        <v>2025</v>
      </c>
    </row>
    <row r="704" spans="1:9" x14ac:dyDescent="0.2">
      <c r="A704" s="47" t="str">
        <f t="shared" si="23"/>
        <v>10951Agosto2025</v>
      </c>
      <c r="B704" s="47">
        <v>14</v>
      </c>
      <c r="C704" s="47">
        <v>10951</v>
      </c>
      <c r="D704" s="47" t="s">
        <v>24</v>
      </c>
      <c r="E704" s="48">
        <v>9478</v>
      </c>
      <c r="F704" s="48">
        <v>11081</v>
      </c>
      <c r="G704" s="56">
        <f t="shared" si="22"/>
        <v>0.85533796588755528</v>
      </c>
      <c r="H704" s="47" t="s">
        <v>47</v>
      </c>
      <c r="I704" s="47">
        <v>2025</v>
      </c>
    </row>
    <row r="705" spans="1:9" x14ac:dyDescent="0.2">
      <c r="A705" s="47" t="str">
        <f t="shared" si="23"/>
        <v>11931Agosto2025</v>
      </c>
      <c r="B705" s="47">
        <v>15</v>
      </c>
      <c r="C705" s="47">
        <v>11931</v>
      </c>
      <c r="D705" s="47" t="s">
        <v>39</v>
      </c>
      <c r="E705" s="48">
        <v>13587</v>
      </c>
      <c r="F705" s="48">
        <v>15750</v>
      </c>
      <c r="G705" s="56">
        <f t="shared" si="22"/>
        <v>0.86266666666666669</v>
      </c>
      <c r="H705" s="47" t="s">
        <v>47</v>
      </c>
      <c r="I705" s="47">
        <v>2025</v>
      </c>
    </row>
    <row r="706" spans="1:9" x14ac:dyDescent="0.2">
      <c r="A706" s="47" t="str">
        <f t="shared" si="23"/>
        <v>11116Agosto2025</v>
      </c>
      <c r="B706" s="47">
        <v>16</v>
      </c>
      <c r="C706" s="47">
        <v>11116</v>
      </c>
      <c r="D706" s="47" t="s">
        <v>28</v>
      </c>
      <c r="E706" s="48">
        <v>57853</v>
      </c>
      <c r="F706" s="48">
        <v>68012</v>
      </c>
      <c r="G706" s="56">
        <f t="shared" si="22"/>
        <v>0.85062930071163911</v>
      </c>
      <c r="H706" s="47" t="s">
        <v>47</v>
      </c>
      <c r="I706" s="47">
        <v>2025</v>
      </c>
    </row>
    <row r="707" spans="1:9" x14ac:dyDescent="0.2">
      <c r="A707" s="47" t="str">
        <f t="shared" si="23"/>
        <v>234Agosto2025</v>
      </c>
      <c r="B707" s="47">
        <v>17</v>
      </c>
      <c r="C707" s="47">
        <v>234</v>
      </c>
      <c r="D707" s="47" t="s">
        <v>18</v>
      </c>
      <c r="E707" s="48">
        <v>25116</v>
      </c>
      <c r="F707" s="48">
        <v>30248</v>
      </c>
      <c r="G707" s="56">
        <f t="shared" si="22"/>
        <v>0.83033588997619678</v>
      </c>
      <c r="H707" s="47" t="s">
        <v>47</v>
      </c>
      <c r="I707" s="47">
        <v>2025</v>
      </c>
    </row>
    <row r="708" spans="1:9" x14ac:dyDescent="0.2">
      <c r="A708" s="47" t="str">
        <f t="shared" si="23"/>
        <v>1557Agosto2025</v>
      </c>
      <c r="B708" s="47">
        <v>18</v>
      </c>
      <c r="C708" s="47">
        <v>1557</v>
      </c>
      <c r="D708" s="47" t="s">
        <v>12</v>
      </c>
      <c r="E708" s="48">
        <v>8845</v>
      </c>
      <c r="F708" s="48">
        <v>11110</v>
      </c>
      <c r="G708" s="56">
        <f t="shared" si="22"/>
        <v>0.79612961296129614</v>
      </c>
      <c r="H708" s="47" t="s">
        <v>47</v>
      </c>
      <c r="I708" s="47">
        <v>2025</v>
      </c>
    </row>
    <row r="709" spans="1:9" x14ac:dyDescent="0.2">
      <c r="A709" s="47" t="str">
        <f t="shared" si="23"/>
        <v>12166Agosto2025</v>
      </c>
      <c r="B709" s="47">
        <v>19</v>
      </c>
      <c r="C709" s="47">
        <v>12166</v>
      </c>
      <c r="D709" s="47" t="s">
        <v>65</v>
      </c>
      <c r="E709" s="48">
        <v>10335</v>
      </c>
      <c r="F709" s="48">
        <v>13043</v>
      </c>
      <c r="G709" s="56">
        <f t="shared" si="22"/>
        <v>0.79237905389864294</v>
      </c>
      <c r="H709" s="47" t="s">
        <v>47</v>
      </c>
      <c r="I709" s="47">
        <v>2025</v>
      </c>
    </row>
    <row r="710" spans="1:9" x14ac:dyDescent="0.2">
      <c r="A710" s="47" t="str">
        <f t="shared" si="23"/>
        <v>243Agosto2025</v>
      </c>
      <c r="B710" s="47">
        <v>20</v>
      </c>
      <c r="C710" s="47">
        <v>243</v>
      </c>
      <c r="D710" s="47" t="s">
        <v>34</v>
      </c>
      <c r="E710" s="48">
        <v>18672</v>
      </c>
      <c r="F710" s="48">
        <v>25103</v>
      </c>
      <c r="G710" s="56">
        <f t="shared" ref="G710:G759" si="24">E710/F710</f>
        <v>0.74381548022148747</v>
      </c>
      <c r="H710" s="47" t="s">
        <v>47</v>
      </c>
      <c r="I710" s="47">
        <v>2025</v>
      </c>
    </row>
    <row r="711" spans="1:9" x14ac:dyDescent="0.2">
      <c r="A711" s="47" t="str">
        <f t="shared" si="23"/>
        <v>237Agosto2025</v>
      </c>
      <c r="B711" s="47">
        <v>21</v>
      </c>
      <c r="C711" s="47">
        <v>237</v>
      </c>
      <c r="D711" s="47" t="s">
        <v>31</v>
      </c>
      <c r="E711" s="48">
        <v>26736</v>
      </c>
      <c r="F711" s="48">
        <v>38102</v>
      </c>
      <c r="G711" s="56">
        <f t="shared" si="24"/>
        <v>0.70169544905779224</v>
      </c>
      <c r="H711" s="47" t="s">
        <v>47</v>
      </c>
      <c r="I711" s="47">
        <v>2025</v>
      </c>
    </row>
    <row r="712" spans="1:9" x14ac:dyDescent="0.2">
      <c r="A712" s="47" t="str">
        <f t="shared" si="23"/>
        <v>28745Agosto2025</v>
      </c>
      <c r="B712" s="47">
        <v>22</v>
      </c>
      <c r="C712" s="47">
        <v>28745</v>
      </c>
      <c r="D712" s="47" t="s">
        <v>6</v>
      </c>
      <c r="E712" s="48">
        <v>3152</v>
      </c>
      <c r="F712" s="48">
        <v>4583</v>
      </c>
      <c r="G712" s="56">
        <f t="shared" si="24"/>
        <v>0.68775910975343657</v>
      </c>
      <c r="H712" s="47" t="s">
        <v>47</v>
      </c>
      <c r="I712" s="47">
        <v>2025</v>
      </c>
    </row>
    <row r="713" spans="1:9" x14ac:dyDescent="0.2">
      <c r="A713" s="47" t="str">
        <f t="shared" si="23"/>
        <v>246Agosto2025</v>
      </c>
      <c r="B713" s="47">
        <v>23</v>
      </c>
      <c r="C713" s="47">
        <v>246</v>
      </c>
      <c r="D713" s="47" t="s">
        <v>9</v>
      </c>
      <c r="E713" s="48">
        <v>12949</v>
      </c>
      <c r="F713" s="48">
        <v>20928</v>
      </c>
      <c r="G713" s="56">
        <f t="shared" si="24"/>
        <v>0.6187404434250765</v>
      </c>
      <c r="H713" s="47" t="s">
        <v>47</v>
      </c>
      <c r="I713" s="47">
        <v>2025</v>
      </c>
    </row>
    <row r="714" spans="1:9" x14ac:dyDescent="0.2">
      <c r="A714" s="47" t="str">
        <f t="shared" si="23"/>
        <v>12165Septiembre2025</v>
      </c>
      <c r="B714" s="47">
        <v>1</v>
      </c>
      <c r="C714" s="47">
        <v>12165</v>
      </c>
      <c r="D714" s="47" t="s">
        <v>66</v>
      </c>
      <c r="E714" s="48">
        <v>6668</v>
      </c>
      <c r="F714" s="48">
        <v>6874</v>
      </c>
      <c r="G714" s="56">
        <f t="shared" si="24"/>
        <v>0.97003200465522255</v>
      </c>
      <c r="H714" s="47" t="s">
        <v>48</v>
      </c>
      <c r="I714" s="47">
        <v>2025</v>
      </c>
    </row>
    <row r="715" spans="1:9" x14ac:dyDescent="0.2">
      <c r="A715" s="47" t="str">
        <f t="shared" si="23"/>
        <v>11117Septiembre2025</v>
      </c>
      <c r="B715" s="47">
        <v>2</v>
      </c>
      <c r="C715" s="47">
        <v>11117</v>
      </c>
      <c r="D715" s="47" t="s">
        <v>15</v>
      </c>
      <c r="E715" s="48">
        <v>54559</v>
      </c>
      <c r="F715" s="48">
        <v>56905</v>
      </c>
      <c r="G715" s="56">
        <f t="shared" si="24"/>
        <v>0.95877339425358055</v>
      </c>
      <c r="H715" s="47" t="s">
        <v>48</v>
      </c>
      <c r="I715" s="47">
        <v>2025</v>
      </c>
    </row>
    <row r="716" spans="1:9" x14ac:dyDescent="0.2">
      <c r="A716" s="47" t="str">
        <f t="shared" si="23"/>
        <v>11799Septiembre2025</v>
      </c>
      <c r="B716" s="47">
        <v>3</v>
      </c>
      <c r="C716" s="47">
        <v>11799</v>
      </c>
      <c r="D716" s="47" t="s">
        <v>21</v>
      </c>
      <c r="E716" s="48">
        <v>12381</v>
      </c>
      <c r="F716" s="48">
        <v>13095</v>
      </c>
      <c r="G716" s="56">
        <f t="shared" si="24"/>
        <v>0.94547537227949596</v>
      </c>
      <c r="H716" s="47" t="s">
        <v>48</v>
      </c>
      <c r="I716" s="47">
        <v>2025</v>
      </c>
    </row>
    <row r="717" spans="1:9" x14ac:dyDescent="0.2">
      <c r="A717" s="47" t="str">
        <f t="shared" si="23"/>
        <v>241Septiembre2025</v>
      </c>
      <c r="B717" s="47">
        <v>4</v>
      </c>
      <c r="C717" s="47">
        <v>241</v>
      </c>
      <c r="D717" s="47" t="s">
        <v>30</v>
      </c>
      <c r="E717" s="48">
        <v>10257</v>
      </c>
      <c r="F717" s="48">
        <v>10836</v>
      </c>
      <c r="G717" s="56">
        <f t="shared" si="24"/>
        <v>0.94656699889258034</v>
      </c>
      <c r="H717" s="47" t="s">
        <v>48</v>
      </c>
      <c r="I717" s="47">
        <v>2025</v>
      </c>
    </row>
    <row r="718" spans="1:9" x14ac:dyDescent="0.2">
      <c r="A718" s="47" t="str">
        <f t="shared" si="23"/>
        <v>11882Septiembre2025</v>
      </c>
      <c r="B718" s="47">
        <v>5</v>
      </c>
      <c r="C718" s="47">
        <v>11882</v>
      </c>
      <c r="D718" s="47" t="s">
        <v>22</v>
      </c>
      <c r="E718" s="48">
        <v>8514</v>
      </c>
      <c r="F718" s="48">
        <v>9060</v>
      </c>
      <c r="G718" s="56">
        <f t="shared" si="24"/>
        <v>0.93973509933774835</v>
      </c>
      <c r="H718" s="47" t="s">
        <v>48</v>
      </c>
      <c r="I718" s="47">
        <v>2025</v>
      </c>
    </row>
    <row r="719" spans="1:9" x14ac:dyDescent="0.2">
      <c r="A719" s="47" t="str">
        <f t="shared" si="23"/>
        <v>240Septiembre2025</v>
      </c>
      <c r="B719" s="47">
        <v>6</v>
      </c>
      <c r="C719" s="47">
        <v>240</v>
      </c>
      <c r="D719" s="47" t="s">
        <v>23</v>
      </c>
      <c r="E719" s="48">
        <v>22889</v>
      </c>
      <c r="F719" s="48">
        <v>24647</v>
      </c>
      <c r="G719" s="56">
        <f t="shared" si="24"/>
        <v>0.92867286079441713</v>
      </c>
      <c r="H719" s="47" t="s">
        <v>48</v>
      </c>
      <c r="I719" s="47">
        <v>2025</v>
      </c>
    </row>
    <row r="720" spans="1:9" x14ac:dyDescent="0.2">
      <c r="A720" s="47" t="str">
        <f t="shared" si="23"/>
        <v>235Septiembre2025</v>
      </c>
      <c r="B720" s="47">
        <v>7</v>
      </c>
      <c r="C720" s="47">
        <v>235</v>
      </c>
      <c r="D720" s="47" t="s">
        <v>33</v>
      </c>
      <c r="E720" s="48">
        <v>15423</v>
      </c>
      <c r="F720" s="48">
        <v>16725</v>
      </c>
      <c r="G720" s="56">
        <f t="shared" si="24"/>
        <v>0.92215246636771298</v>
      </c>
      <c r="H720" s="47" t="s">
        <v>48</v>
      </c>
      <c r="I720" s="47">
        <v>2025</v>
      </c>
    </row>
    <row r="721" spans="1:9" x14ac:dyDescent="0.2">
      <c r="A721" s="47" t="str">
        <f t="shared" si="23"/>
        <v>236Septiembre2025</v>
      </c>
      <c r="B721" s="47">
        <v>8</v>
      </c>
      <c r="C721" s="47">
        <v>236</v>
      </c>
      <c r="D721" s="47" t="s">
        <v>25</v>
      </c>
      <c r="E721" s="48">
        <v>27083</v>
      </c>
      <c r="F721" s="48">
        <v>29576</v>
      </c>
      <c r="G721" s="56">
        <f t="shared" si="24"/>
        <v>0.91570868271571548</v>
      </c>
      <c r="H721" s="47" t="s">
        <v>48</v>
      </c>
      <c r="I721" s="47">
        <v>2025</v>
      </c>
    </row>
    <row r="722" spans="1:9" x14ac:dyDescent="0.2">
      <c r="A722" s="47" t="str">
        <f t="shared" si="23"/>
        <v>10904Septiembre2025</v>
      </c>
      <c r="B722" s="47">
        <v>9</v>
      </c>
      <c r="C722" s="47">
        <v>10904</v>
      </c>
      <c r="D722" s="47" t="s">
        <v>29</v>
      </c>
      <c r="E722" s="48">
        <v>10608</v>
      </c>
      <c r="F722" s="48">
        <v>11599</v>
      </c>
      <c r="G722" s="56">
        <f t="shared" si="24"/>
        <v>0.91456160013794296</v>
      </c>
      <c r="H722" s="47" t="s">
        <v>48</v>
      </c>
      <c r="I722" s="47">
        <v>2025</v>
      </c>
    </row>
    <row r="723" spans="1:9" x14ac:dyDescent="0.2">
      <c r="A723" s="47" t="str">
        <f t="shared" si="23"/>
        <v>12163Septiembre2025</v>
      </c>
      <c r="B723" s="47">
        <v>10</v>
      </c>
      <c r="C723" s="47">
        <v>12163</v>
      </c>
      <c r="D723" s="47" t="s">
        <v>67</v>
      </c>
      <c r="E723" s="48">
        <v>11821</v>
      </c>
      <c r="F723" s="48">
        <v>13006</v>
      </c>
      <c r="G723" s="56">
        <f t="shared" si="24"/>
        <v>0.90888820544364135</v>
      </c>
      <c r="H723" s="47" t="s">
        <v>48</v>
      </c>
      <c r="I723" s="47">
        <v>2025</v>
      </c>
    </row>
    <row r="724" spans="1:9" x14ac:dyDescent="0.2">
      <c r="A724" s="47" t="str">
        <f t="shared" si="23"/>
        <v>239Septiembre2025</v>
      </c>
      <c r="B724" s="47">
        <v>11</v>
      </c>
      <c r="C724" s="47">
        <v>239</v>
      </c>
      <c r="D724" s="47" t="s">
        <v>32</v>
      </c>
      <c r="E724" s="48">
        <v>26192</v>
      </c>
      <c r="F724" s="48">
        <v>28742</v>
      </c>
      <c r="G724" s="56">
        <f t="shared" si="24"/>
        <v>0.91127966042724928</v>
      </c>
      <c r="H724" s="47" t="s">
        <v>48</v>
      </c>
      <c r="I724" s="47">
        <v>2025</v>
      </c>
    </row>
    <row r="725" spans="1:9" x14ac:dyDescent="0.2">
      <c r="A725" s="47" t="str">
        <f t="shared" si="23"/>
        <v>238Septiembre2025</v>
      </c>
      <c r="B725" s="47">
        <v>12</v>
      </c>
      <c r="C725" s="47">
        <v>238</v>
      </c>
      <c r="D725" s="47" t="s">
        <v>35</v>
      </c>
      <c r="E725" s="48">
        <v>15278</v>
      </c>
      <c r="F725" s="48">
        <v>16929</v>
      </c>
      <c r="G725" s="56">
        <f t="shared" si="24"/>
        <v>0.90247504282592006</v>
      </c>
      <c r="H725" s="47" t="s">
        <v>48</v>
      </c>
      <c r="I725" s="47">
        <v>2025</v>
      </c>
    </row>
    <row r="726" spans="1:9" x14ac:dyDescent="0.2">
      <c r="A726" s="47" t="str">
        <f t="shared" si="23"/>
        <v>242Septiembre2025</v>
      </c>
      <c r="B726" s="47">
        <v>13</v>
      </c>
      <c r="C726" s="47">
        <v>242</v>
      </c>
      <c r="D726" s="47" t="s">
        <v>7</v>
      </c>
      <c r="E726" s="48">
        <v>14345</v>
      </c>
      <c r="F726" s="48">
        <v>15918</v>
      </c>
      <c r="G726" s="56">
        <f t="shared" si="24"/>
        <v>0.90118105289609252</v>
      </c>
      <c r="H726" s="47" t="s">
        <v>48</v>
      </c>
      <c r="I726" s="47">
        <v>2025</v>
      </c>
    </row>
    <row r="727" spans="1:9" x14ac:dyDescent="0.2">
      <c r="A727" s="47" t="str">
        <f t="shared" si="23"/>
        <v>11931Septiembre2025</v>
      </c>
      <c r="B727" s="47">
        <v>14</v>
      </c>
      <c r="C727" s="47">
        <v>11931</v>
      </c>
      <c r="D727" s="47" t="s">
        <v>39</v>
      </c>
      <c r="E727" s="48">
        <v>14948</v>
      </c>
      <c r="F727" s="48">
        <v>17274</v>
      </c>
      <c r="G727" s="56">
        <f t="shared" si="24"/>
        <v>0.8653467639226583</v>
      </c>
      <c r="H727" s="47" t="s">
        <v>48</v>
      </c>
      <c r="I727" s="47">
        <v>2025</v>
      </c>
    </row>
    <row r="728" spans="1:9" x14ac:dyDescent="0.2">
      <c r="A728" s="47" t="str">
        <f t="shared" si="23"/>
        <v>10951Septiembre2025</v>
      </c>
      <c r="B728" s="47">
        <v>15</v>
      </c>
      <c r="C728" s="47">
        <v>10951</v>
      </c>
      <c r="D728" s="47" t="s">
        <v>24</v>
      </c>
      <c r="E728" s="48">
        <v>10971</v>
      </c>
      <c r="F728" s="48">
        <v>12744</v>
      </c>
      <c r="G728" s="56">
        <f t="shared" si="24"/>
        <v>0.86087570621468923</v>
      </c>
      <c r="H728" s="47" t="s">
        <v>48</v>
      </c>
      <c r="I728" s="47">
        <v>2025</v>
      </c>
    </row>
    <row r="729" spans="1:9" x14ac:dyDescent="0.2">
      <c r="A729" s="47" t="str">
        <f t="shared" si="23"/>
        <v>11116Septiembre2025</v>
      </c>
      <c r="B729" s="47">
        <v>16</v>
      </c>
      <c r="C729" s="47">
        <v>11116</v>
      </c>
      <c r="D729" s="47" t="s">
        <v>28</v>
      </c>
      <c r="E729" s="48">
        <v>63970</v>
      </c>
      <c r="F729" s="48">
        <v>75089</v>
      </c>
      <c r="G729" s="56">
        <f t="shared" si="24"/>
        <v>0.85192238543594934</v>
      </c>
      <c r="H729" s="47" t="s">
        <v>48</v>
      </c>
      <c r="I729" s="47">
        <v>2025</v>
      </c>
    </row>
    <row r="730" spans="1:9" x14ac:dyDescent="0.2">
      <c r="A730" s="47" t="str">
        <f t="shared" si="23"/>
        <v>234Septiembre2025</v>
      </c>
      <c r="B730" s="47">
        <v>17</v>
      </c>
      <c r="C730" s="47">
        <v>234</v>
      </c>
      <c r="D730" s="47" t="s">
        <v>18</v>
      </c>
      <c r="E730" s="48">
        <v>28394</v>
      </c>
      <c r="F730" s="48">
        <v>33629</v>
      </c>
      <c r="G730" s="56">
        <f t="shared" si="24"/>
        <v>0.84433078592881139</v>
      </c>
      <c r="H730" s="47" t="s">
        <v>48</v>
      </c>
      <c r="I730" s="47">
        <v>2025</v>
      </c>
    </row>
    <row r="731" spans="1:9" x14ac:dyDescent="0.2">
      <c r="A731" s="47" t="str">
        <f t="shared" si="23"/>
        <v>1557Septiembre2025</v>
      </c>
      <c r="B731" s="47">
        <v>18</v>
      </c>
      <c r="C731" s="47">
        <v>1557</v>
      </c>
      <c r="D731" s="47" t="s">
        <v>12</v>
      </c>
      <c r="E731" s="48">
        <v>10120</v>
      </c>
      <c r="F731" s="48">
        <v>12417</v>
      </c>
      <c r="G731" s="56">
        <f t="shared" si="24"/>
        <v>0.81501167753885806</v>
      </c>
      <c r="H731" s="47" t="s">
        <v>48</v>
      </c>
      <c r="I731" s="47">
        <v>2025</v>
      </c>
    </row>
    <row r="732" spans="1:9" x14ac:dyDescent="0.2">
      <c r="A732" s="47" t="str">
        <f t="shared" si="23"/>
        <v>12166Septiembre2025</v>
      </c>
      <c r="B732" s="47">
        <v>19</v>
      </c>
      <c r="C732" s="47">
        <v>12166</v>
      </c>
      <c r="D732" s="47" t="s">
        <v>65</v>
      </c>
      <c r="E732" s="48">
        <v>11105</v>
      </c>
      <c r="F732" s="48">
        <v>14117</v>
      </c>
      <c r="G732" s="56">
        <f t="shared" si="24"/>
        <v>0.78664022101012965</v>
      </c>
      <c r="H732" s="47" t="s">
        <v>48</v>
      </c>
      <c r="I732" s="47">
        <v>2025</v>
      </c>
    </row>
    <row r="733" spans="1:9" x14ac:dyDescent="0.2">
      <c r="A733" s="47" t="str">
        <f t="shared" si="23"/>
        <v>243Septiembre2025</v>
      </c>
      <c r="B733" s="47">
        <v>20</v>
      </c>
      <c r="C733" s="47">
        <v>243</v>
      </c>
      <c r="D733" s="47" t="s">
        <v>34</v>
      </c>
      <c r="E733" s="48">
        <v>21071</v>
      </c>
      <c r="F733" s="48">
        <v>27935</v>
      </c>
      <c r="G733" s="56">
        <f t="shared" si="24"/>
        <v>0.75428673706819405</v>
      </c>
      <c r="H733" s="47" t="s">
        <v>48</v>
      </c>
      <c r="I733" s="47">
        <v>2025</v>
      </c>
    </row>
    <row r="734" spans="1:9" x14ac:dyDescent="0.2">
      <c r="A734" s="47" t="str">
        <f t="shared" si="23"/>
        <v>28745Septiembre2025</v>
      </c>
      <c r="B734" s="47">
        <v>21</v>
      </c>
      <c r="C734" s="47">
        <v>28745</v>
      </c>
      <c r="D734" s="47" t="s">
        <v>6</v>
      </c>
      <c r="E734" s="48">
        <v>3639</v>
      </c>
      <c r="F734" s="48">
        <v>5070</v>
      </c>
      <c r="G734" s="56">
        <f t="shared" si="24"/>
        <v>0.71775147928994087</v>
      </c>
      <c r="H734" s="47" t="s">
        <v>48</v>
      </c>
      <c r="I734" s="47">
        <v>2025</v>
      </c>
    </row>
    <row r="735" spans="1:9" x14ac:dyDescent="0.2">
      <c r="A735" s="47" t="str">
        <f t="shared" si="23"/>
        <v>237Septiembre2025</v>
      </c>
      <c r="B735" s="47">
        <v>22</v>
      </c>
      <c r="C735" s="47">
        <v>237</v>
      </c>
      <c r="D735" s="47" t="s">
        <v>31</v>
      </c>
      <c r="E735" s="48">
        <v>29874</v>
      </c>
      <c r="F735" s="48">
        <v>41988</v>
      </c>
      <c r="G735" s="56">
        <f t="shared" si="24"/>
        <v>0.71148899685624467</v>
      </c>
      <c r="H735" s="47" t="s">
        <v>48</v>
      </c>
      <c r="I735" s="47">
        <v>2025</v>
      </c>
    </row>
    <row r="736" spans="1:9" x14ac:dyDescent="0.2">
      <c r="A736" s="47" t="str">
        <f t="shared" si="23"/>
        <v>246Septiembre2025</v>
      </c>
      <c r="B736" s="47">
        <v>23</v>
      </c>
      <c r="C736" s="47">
        <v>246</v>
      </c>
      <c r="D736" s="47" t="s">
        <v>9</v>
      </c>
      <c r="E736" s="48">
        <v>17374</v>
      </c>
      <c r="F736" s="48">
        <v>25563</v>
      </c>
      <c r="G736" s="56">
        <f t="shared" si="24"/>
        <v>0.67965418769315022</v>
      </c>
      <c r="H736" s="47" t="s">
        <v>48</v>
      </c>
      <c r="I736" s="47">
        <v>2025</v>
      </c>
    </row>
    <row r="737" spans="1:9" x14ac:dyDescent="0.2">
      <c r="A737" s="47" t="str">
        <f t="shared" si="23"/>
        <v>12165Octubre2025</v>
      </c>
      <c r="B737" s="47">
        <v>1</v>
      </c>
      <c r="C737" s="47">
        <v>12165</v>
      </c>
      <c r="D737" s="47" t="s">
        <v>66</v>
      </c>
      <c r="E737" s="48">
        <v>7293</v>
      </c>
      <c r="F737" s="48">
        <v>7501</v>
      </c>
      <c r="G737" s="56">
        <f t="shared" si="24"/>
        <v>0.97227036395147315</v>
      </c>
      <c r="H737" s="47" t="s">
        <v>49</v>
      </c>
      <c r="I737" s="47">
        <v>2025</v>
      </c>
    </row>
    <row r="738" spans="1:9" x14ac:dyDescent="0.2">
      <c r="A738" s="47" t="str">
        <f t="shared" si="23"/>
        <v>11117Octubre2025</v>
      </c>
      <c r="B738" s="47">
        <v>2</v>
      </c>
      <c r="C738" s="47">
        <v>11117</v>
      </c>
      <c r="D738" s="47" t="s">
        <v>15</v>
      </c>
      <c r="E738" s="48">
        <v>59137</v>
      </c>
      <c r="F738" s="48">
        <v>61584</v>
      </c>
      <c r="G738" s="56">
        <f t="shared" si="24"/>
        <v>0.96026565341647185</v>
      </c>
      <c r="H738" s="47" t="s">
        <v>49</v>
      </c>
      <c r="I738" s="47">
        <v>2025</v>
      </c>
    </row>
    <row r="739" spans="1:9" x14ac:dyDescent="0.2">
      <c r="A739" s="47" t="str">
        <f t="shared" ref="A739:A759" si="25">C739&amp;H739&amp;I739</f>
        <v>11799Octubre2025</v>
      </c>
      <c r="B739" s="47">
        <v>3</v>
      </c>
      <c r="C739" s="47">
        <v>11799</v>
      </c>
      <c r="D739" s="47" t="s">
        <v>21</v>
      </c>
      <c r="E739" s="48">
        <v>12381</v>
      </c>
      <c r="F739" s="48">
        <v>13095</v>
      </c>
      <c r="G739" s="56">
        <f t="shared" si="24"/>
        <v>0.94547537227949596</v>
      </c>
      <c r="H739" s="47" t="s">
        <v>49</v>
      </c>
      <c r="I739" s="47">
        <v>2025</v>
      </c>
    </row>
    <row r="740" spans="1:9" x14ac:dyDescent="0.2">
      <c r="A740" s="47" t="str">
        <f t="shared" si="25"/>
        <v>241Octubre2025</v>
      </c>
      <c r="B740" s="47">
        <v>4</v>
      </c>
      <c r="C740" s="47">
        <v>241</v>
      </c>
      <c r="D740" s="47" t="s">
        <v>30</v>
      </c>
      <c r="E740" s="48">
        <v>11207</v>
      </c>
      <c r="F740" s="48">
        <v>11790</v>
      </c>
      <c r="G740" s="56">
        <f t="shared" si="24"/>
        <v>0.95055131467345211</v>
      </c>
      <c r="H740" s="47" t="s">
        <v>49</v>
      </c>
      <c r="I740" s="47">
        <v>2025</v>
      </c>
    </row>
    <row r="741" spans="1:9" x14ac:dyDescent="0.2">
      <c r="A741" s="47" t="str">
        <f t="shared" si="25"/>
        <v>11882Octubre2025</v>
      </c>
      <c r="B741" s="47">
        <v>5</v>
      </c>
      <c r="C741" s="47">
        <v>11882</v>
      </c>
      <c r="D741" s="47" t="s">
        <v>22</v>
      </c>
      <c r="E741" s="48">
        <v>9072</v>
      </c>
      <c r="F741" s="48">
        <v>9627</v>
      </c>
      <c r="G741" s="56">
        <f t="shared" si="24"/>
        <v>0.94234964163290746</v>
      </c>
      <c r="H741" s="47" t="s">
        <v>49</v>
      </c>
      <c r="I741" s="47">
        <v>2025</v>
      </c>
    </row>
    <row r="742" spans="1:9" x14ac:dyDescent="0.2">
      <c r="A742" s="47" t="str">
        <f t="shared" si="25"/>
        <v>240Octubre2025</v>
      </c>
      <c r="B742" s="47">
        <v>6</v>
      </c>
      <c r="C742" s="47">
        <v>240</v>
      </c>
      <c r="D742" s="47" t="s">
        <v>23</v>
      </c>
      <c r="E742" s="48">
        <v>25011</v>
      </c>
      <c r="F742" s="48">
        <v>26909</v>
      </c>
      <c r="G742" s="56">
        <f t="shared" si="24"/>
        <v>0.92946597792560115</v>
      </c>
      <c r="H742" s="47" t="s">
        <v>49</v>
      </c>
      <c r="I742" s="47">
        <v>2025</v>
      </c>
    </row>
    <row r="743" spans="1:9" x14ac:dyDescent="0.2">
      <c r="A743" s="47" t="str">
        <f t="shared" si="25"/>
        <v>10904Octubre2025</v>
      </c>
      <c r="B743" s="47">
        <v>7</v>
      </c>
      <c r="C743" s="47">
        <v>10904</v>
      </c>
      <c r="D743" s="47" t="s">
        <v>29</v>
      </c>
      <c r="E743" s="48">
        <v>11468</v>
      </c>
      <c r="F743" s="48">
        <v>12493</v>
      </c>
      <c r="G743" s="56">
        <f t="shared" si="24"/>
        <v>0.91795405427039145</v>
      </c>
      <c r="H743" s="47" t="s">
        <v>49</v>
      </c>
      <c r="I743" s="47">
        <v>2025</v>
      </c>
    </row>
    <row r="744" spans="1:9" x14ac:dyDescent="0.2">
      <c r="A744" s="47" t="str">
        <f t="shared" si="25"/>
        <v>235Octubre2025</v>
      </c>
      <c r="B744" s="47">
        <v>8</v>
      </c>
      <c r="C744" s="47">
        <v>235</v>
      </c>
      <c r="D744" s="47" t="s">
        <v>33</v>
      </c>
      <c r="E744" s="48">
        <v>16984</v>
      </c>
      <c r="F744" s="48">
        <v>18414</v>
      </c>
      <c r="G744" s="56">
        <f t="shared" si="24"/>
        <v>0.92234169653524489</v>
      </c>
      <c r="H744" s="47" t="s">
        <v>49</v>
      </c>
      <c r="I744" s="47">
        <v>2025</v>
      </c>
    </row>
    <row r="745" spans="1:9" x14ac:dyDescent="0.2">
      <c r="A745" s="47" t="str">
        <f t="shared" si="25"/>
        <v>236Octubre2025</v>
      </c>
      <c r="B745" s="47">
        <v>9</v>
      </c>
      <c r="C745" s="47">
        <v>236</v>
      </c>
      <c r="D745" s="47" t="s">
        <v>25</v>
      </c>
      <c r="E745" s="48">
        <v>29366</v>
      </c>
      <c r="F745" s="48">
        <v>32128</v>
      </c>
      <c r="G745" s="56">
        <f t="shared" si="24"/>
        <v>0.91403137450199201</v>
      </c>
      <c r="H745" s="47" t="s">
        <v>49</v>
      </c>
      <c r="I745" s="47">
        <v>2025</v>
      </c>
    </row>
    <row r="746" spans="1:9" x14ac:dyDescent="0.2">
      <c r="A746" s="47" t="str">
        <f t="shared" si="25"/>
        <v>239Octubre2025</v>
      </c>
      <c r="B746" s="47">
        <v>10</v>
      </c>
      <c r="C746" s="47">
        <v>239</v>
      </c>
      <c r="D746" s="47" t="s">
        <v>32</v>
      </c>
      <c r="E746" s="48">
        <v>28571</v>
      </c>
      <c r="F746" s="48">
        <v>31258</v>
      </c>
      <c r="G746" s="56">
        <f t="shared" si="24"/>
        <v>0.91403800627039478</v>
      </c>
      <c r="H746" s="47" t="s">
        <v>49</v>
      </c>
      <c r="I746" s="47">
        <v>2025</v>
      </c>
    </row>
    <row r="747" spans="1:9" x14ac:dyDescent="0.2">
      <c r="A747" s="47" t="str">
        <f t="shared" si="25"/>
        <v>242Octubre2025</v>
      </c>
      <c r="B747" s="47">
        <v>11</v>
      </c>
      <c r="C747" s="47">
        <v>242</v>
      </c>
      <c r="D747" s="47" t="s">
        <v>7</v>
      </c>
      <c r="E747" s="48">
        <v>15608</v>
      </c>
      <c r="F747" s="48">
        <v>17237</v>
      </c>
      <c r="G747" s="56">
        <f t="shared" si="24"/>
        <v>0.90549399547485065</v>
      </c>
      <c r="H747" s="47" t="s">
        <v>49</v>
      </c>
      <c r="I747" s="47">
        <v>2025</v>
      </c>
    </row>
    <row r="748" spans="1:9" x14ac:dyDescent="0.2">
      <c r="A748" s="47" t="str">
        <f t="shared" si="25"/>
        <v>238Octubre2025</v>
      </c>
      <c r="B748" s="47">
        <v>12</v>
      </c>
      <c r="C748" s="47">
        <v>238</v>
      </c>
      <c r="D748" s="47" t="s">
        <v>35</v>
      </c>
      <c r="E748" s="48">
        <v>16435</v>
      </c>
      <c r="F748" s="48">
        <v>18198</v>
      </c>
      <c r="G748" s="56">
        <f t="shared" si="24"/>
        <v>0.90312122211232004</v>
      </c>
      <c r="H748" s="47" t="s">
        <v>49</v>
      </c>
      <c r="I748" s="47">
        <v>2025</v>
      </c>
    </row>
    <row r="749" spans="1:9" x14ac:dyDescent="0.2">
      <c r="A749" s="47" t="str">
        <f t="shared" si="25"/>
        <v>12163Octubre2025</v>
      </c>
      <c r="B749" s="47">
        <v>13</v>
      </c>
      <c r="C749" s="47">
        <v>12163</v>
      </c>
      <c r="D749" s="47" t="s">
        <v>67</v>
      </c>
      <c r="E749" s="48">
        <v>11959</v>
      </c>
      <c r="F749" s="48">
        <v>13702</v>
      </c>
      <c r="G749" s="56">
        <f t="shared" si="24"/>
        <v>0.87279229309589845</v>
      </c>
      <c r="H749" s="47" t="s">
        <v>49</v>
      </c>
      <c r="I749" s="47">
        <v>2025</v>
      </c>
    </row>
    <row r="750" spans="1:9" x14ac:dyDescent="0.2">
      <c r="A750" s="47" t="str">
        <f t="shared" si="25"/>
        <v>11931Octubre2025</v>
      </c>
      <c r="B750" s="47">
        <v>14</v>
      </c>
      <c r="C750" s="47">
        <v>11931</v>
      </c>
      <c r="D750" s="47" t="s">
        <v>39</v>
      </c>
      <c r="E750" s="48">
        <v>16080</v>
      </c>
      <c r="F750" s="48">
        <v>18462</v>
      </c>
      <c r="G750" s="56">
        <f t="shared" si="24"/>
        <v>0.87097822554436144</v>
      </c>
      <c r="H750" s="47" t="s">
        <v>49</v>
      </c>
      <c r="I750" s="47">
        <v>2025</v>
      </c>
    </row>
    <row r="751" spans="1:9" x14ac:dyDescent="0.2">
      <c r="A751" s="47" t="str">
        <f t="shared" si="25"/>
        <v>10951Octubre2025</v>
      </c>
      <c r="B751" s="47">
        <v>15</v>
      </c>
      <c r="C751" s="47">
        <v>10951</v>
      </c>
      <c r="D751" s="47" t="s">
        <v>24</v>
      </c>
      <c r="E751" s="48">
        <v>11973</v>
      </c>
      <c r="F751" s="48">
        <v>13855</v>
      </c>
      <c r="G751" s="56">
        <f t="shared" si="24"/>
        <v>0.86416456153013355</v>
      </c>
      <c r="H751" s="47" t="s">
        <v>49</v>
      </c>
      <c r="I751" s="47">
        <v>2025</v>
      </c>
    </row>
    <row r="752" spans="1:9" x14ac:dyDescent="0.2">
      <c r="A752" s="47" t="str">
        <f t="shared" si="25"/>
        <v>11116Octubre2025</v>
      </c>
      <c r="B752" s="47">
        <v>16</v>
      </c>
      <c r="C752" s="47">
        <v>11116</v>
      </c>
      <c r="D752" s="47" t="s">
        <v>28</v>
      </c>
      <c r="E752" s="48">
        <v>68732</v>
      </c>
      <c r="F752" s="48">
        <v>80200</v>
      </c>
      <c r="G752" s="56">
        <f t="shared" si="24"/>
        <v>0.85700748129675808</v>
      </c>
      <c r="H752" s="47" t="s">
        <v>49</v>
      </c>
      <c r="I752" s="47">
        <v>2025</v>
      </c>
    </row>
    <row r="753" spans="1:9" x14ac:dyDescent="0.2">
      <c r="A753" s="47" t="str">
        <f t="shared" si="25"/>
        <v>234Octubre2025</v>
      </c>
      <c r="B753" s="47">
        <v>17</v>
      </c>
      <c r="C753" s="47">
        <v>234</v>
      </c>
      <c r="D753" s="47" t="s">
        <v>18</v>
      </c>
      <c r="E753" s="48">
        <v>31455</v>
      </c>
      <c r="F753" s="48">
        <v>36843</v>
      </c>
      <c r="G753" s="56">
        <f t="shared" si="24"/>
        <v>0.85375783730966537</v>
      </c>
      <c r="H753" s="47" t="s">
        <v>49</v>
      </c>
      <c r="I753" s="47">
        <v>2025</v>
      </c>
    </row>
    <row r="754" spans="1:9" x14ac:dyDescent="0.2">
      <c r="A754" s="47" t="str">
        <f t="shared" si="25"/>
        <v>1557Octubre2025</v>
      </c>
      <c r="B754" s="47">
        <v>18</v>
      </c>
      <c r="C754" s="47">
        <v>1557</v>
      </c>
      <c r="D754" s="47" t="s">
        <v>12</v>
      </c>
      <c r="E754" s="48">
        <v>11246</v>
      </c>
      <c r="F754" s="48">
        <v>13583</v>
      </c>
      <c r="G754" s="56">
        <f t="shared" si="24"/>
        <v>0.82794669807848043</v>
      </c>
      <c r="H754" s="47" t="s">
        <v>49</v>
      </c>
      <c r="I754" s="47">
        <v>2025</v>
      </c>
    </row>
    <row r="755" spans="1:9" x14ac:dyDescent="0.2">
      <c r="A755" s="47" t="str">
        <f t="shared" si="25"/>
        <v>12166Octubre2025</v>
      </c>
      <c r="B755" s="47">
        <v>19</v>
      </c>
      <c r="C755" s="47">
        <v>12166</v>
      </c>
      <c r="D755" s="47" t="s">
        <v>65</v>
      </c>
      <c r="E755" s="48">
        <v>12311</v>
      </c>
      <c r="F755" s="48">
        <v>15351</v>
      </c>
      <c r="G755" s="56">
        <f t="shared" si="24"/>
        <v>0.80196729854732596</v>
      </c>
      <c r="H755" s="47" t="s">
        <v>49</v>
      </c>
      <c r="I755" s="47">
        <v>2025</v>
      </c>
    </row>
    <row r="756" spans="1:9" x14ac:dyDescent="0.2">
      <c r="A756" s="47" t="str">
        <f t="shared" si="25"/>
        <v>243Octubre2025</v>
      </c>
      <c r="B756" s="47">
        <v>20</v>
      </c>
      <c r="C756" s="47">
        <v>243</v>
      </c>
      <c r="D756" s="47" t="s">
        <v>34</v>
      </c>
      <c r="E756" s="48">
        <v>23050</v>
      </c>
      <c r="F756" s="48">
        <v>30125</v>
      </c>
      <c r="G756" s="56">
        <f t="shared" si="24"/>
        <v>0.76514522821576758</v>
      </c>
      <c r="H756" s="47" t="s">
        <v>49</v>
      </c>
      <c r="I756" s="47">
        <v>2025</v>
      </c>
    </row>
    <row r="757" spans="1:9" x14ac:dyDescent="0.2">
      <c r="A757" s="47" t="str">
        <f t="shared" si="25"/>
        <v>28745Octubre2025</v>
      </c>
      <c r="B757" s="47">
        <v>21</v>
      </c>
      <c r="C757" s="47">
        <v>28745</v>
      </c>
      <c r="D757" s="47" t="s">
        <v>6</v>
      </c>
      <c r="E757" s="48">
        <v>3992</v>
      </c>
      <c r="F757" s="48">
        <v>5438</v>
      </c>
      <c r="G757" s="56">
        <f t="shared" si="24"/>
        <v>0.7340934166973152</v>
      </c>
      <c r="H757" s="47" t="s">
        <v>49</v>
      </c>
      <c r="I757" s="47">
        <v>2025</v>
      </c>
    </row>
    <row r="758" spans="1:9" x14ac:dyDescent="0.2">
      <c r="A758" s="47" t="str">
        <f t="shared" si="25"/>
        <v>246Octubre2025</v>
      </c>
      <c r="B758" s="47">
        <v>22</v>
      </c>
      <c r="C758" s="47">
        <v>246</v>
      </c>
      <c r="D758" s="47" t="s">
        <v>9</v>
      </c>
      <c r="E758" s="48">
        <v>19782</v>
      </c>
      <c r="F758" s="48">
        <v>28007</v>
      </c>
      <c r="G758" s="56">
        <f t="shared" si="24"/>
        <v>0.70632341914521368</v>
      </c>
      <c r="H758" s="47" t="s">
        <v>49</v>
      </c>
      <c r="I758" s="47">
        <v>2025</v>
      </c>
    </row>
    <row r="759" spans="1:9" x14ac:dyDescent="0.2">
      <c r="A759" s="47" t="str">
        <f t="shared" si="25"/>
        <v>237Octubre2025</v>
      </c>
      <c r="B759" s="47">
        <v>23</v>
      </c>
      <c r="C759" s="47">
        <v>237</v>
      </c>
      <c r="D759" s="47" t="s">
        <v>31</v>
      </c>
      <c r="E759" s="48">
        <v>32115</v>
      </c>
      <c r="F759" s="48">
        <v>45807</v>
      </c>
      <c r="G759" s="56">
        <f t="shared" si="24"/>
        <v>0.70109371930054354</v>
      </c>
      <c r="H759" s="47" t="s">
        <v>49</v>
      </c>
      <c r="I759" s="47">
        <v>2025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90DDF-D9C7-45B9-A78E-C7A9F52D45B0}">
  <sheetPr codeName="Hoja6"/>
  <dimension ref="C3:K9"/>
  <sheetViews>
    <sheetView workbookViewId="0">
      <selection activeCell="D11" sqref="D11"/>
    </sheetView>
  </sheetViews>
  <sheetFormatPr baseColWidth="10" defaultColWidth="11.5546875" defaultRowHeight="13.8" x14ac:dyDescent="0.25"/>
  <cols>
    <col min="1" max="3" width="11.5546875" style="5"/>
    <col min="4" max="4" width="52.44140625" style="10" bestFit="1" customWidth="1"/>
    <col min="5" max="5" width="18.6640625" style="5" bestFit="1" customWidth="1"/>
    <col min="6" max="6" width="11.6640625" style="5" bestFit="1" customWidth="1"/>
    <col min="7" max="16384" width="11.5546875" style="5"/>
  </cols>
  <sheetData>
    <row r="3" spans="3:11" x14ac:dyDescent="0.25">
      <c r="C3" s="3">
        <v>44197</v>
      </c>
      <c r="D3" s="4">
        <v>44347</v>
      </c>
    </row>
    <row r="4" spans="3:11" x14ac:dyDescent="0.25">
      <c r="C4" s="3">
        <f>C3+365</f>
        <v>44562</v>
      </c>
      <c r="D4" s="4">
        <f>D3+365</f>
        <v>44712</v>
      </c>
    </row>
    <row r="5" spans="3:11" x14ac:dyDescent="0.25">
      <c r="D5" s="6" t="s">
        <v>52</v>
      </c>
      <c r="E5" s="7" t="s">
        <v>53</v>
      </c>
      <c r="F5" s="7" t="str">
        <f>"=30/09/2022"</f>
        <v>=30/09/2022</v>
      </c>
    </row>
    <row r="6" spans="3:11" x14ac:dyDescent="0.25">
      <c r="D6" s="6" t="s">
        <v>54</v>
      </c>
      <c r="E6" s="8" t="s">
        <v>55</v>
      </c>
      <c r="F6" s="7" t="str">
        <f>"=30/09/2021"</f>
        <v>=30/09/2021</v>
      </c>
    </row>
    <row r="8" spans="3:11" ht="69" x14ac:dyDescent="0.25">
      <c r="D8" s="11" t="s">
        <v>56</v>
      </c>
      <c r="E8" s="12"/>
      <c r="F8" s="12"/>
      <c r="G8" s="12"/>
      <c r="H8" s="12"/>
      <c r="I8" s="12"/>
      <c r="J8" s="12"/>
      <c r="K8" s="9" t="s">
        <v>57</v>
      </c>
    </row>
    <row r="9" spans="3:11" x14ac:dyDescent="0.25">
      <c r="D9" s="6" t="s">
        <v>58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7EFF5-9C47-4A4C-807C-21D7D7776CBC}">
  <sheetPr codeName="Hoja7"/>
  <dimension ref="A1:C17"/>
  <sheetViews>
    <sheetView workbookViewId="0">
      <selection activeCell="L11" sqref="L11"/>
    </sheetView>
  </sheetViews>
  <sheetFormatPr baseColWidth="10" defaultColWidth="11.5546875" defaultRowHeight="11.4" x14ac:dyDescent="0.2"/>
  <cols>
    <col min="1" max="1" width="17.5546875" style="47" bestFit="1" customWidth="1"/>
    <col min="2" max="2" width="29.6640625" style="48" bestFit="1" customWidth="1"/>
    <col min="3" max="3" width="13.5546875" style="47" bestFit="1" customWidth="1"/>
    <col min="4" max="16384" width="11.5546875" style="47"/>
  </cols>
  <sheetData>
    <row r="1" spans="1:3" x14ac:dyDescent="0.2">
      <c r="A1" s="59" t="s">
        <v>2</v>
      </c>
      <c r="B1" s="48" t="s">
        <v>35</v>
      </c>
    </row>
    <row r="2" spans="1:3" x14ac:dyDescent="0.2">
      <c r="A2" s="59" t="s">
        <v>38</v>
      </c>
      <c r="B2" s="49">
        <v>2023</v>
      </c>
    </row>
    <row r="3" spans="1:3" ht="13.8" x14ac:dyDescent="0.25">
      <c r="A3" s="60"/>
      <c r="B3" s="60"/>
      <c r="C3" s="60"/>
    </row>
    <row r="4" spans="1:3" ht="13.8" x14ac:dyDescent="0.25">
      <c r="A4" s="59" t="s">
        <v>59</v>
      </c>
      <c r="B4" s="48" t="s">
        <v>60</v>
      </c>
      <c r="C4" s="60"/>
    </row>
    <row r="5" spans="1:3" ht="13.8" x14ac:dyDescent="0.25">
      <c r="A5" s="49" t="s">
        <v>40</v>
      </c>
      <c r="B5" s="48">
        <v>1.4689265536723164E-2</v>
      </c>
      <c r="C5" s="60"/>
    </row>
    <row r="6" spans="1:3" ht="13.8" x14ac:dyDescent="0.25">
      <c r="A6" s="49" t="s">
        <v>41</v>
      </c>
      <c r="B6" s="48">
        <v>2.1660649819494584E-2</v>
      </c>
      <c r="C6" s="60"/>
    </row>
    <row r="7" spans="1:3" ht="13.8" x14ac:dyDescent="0.25">
      <c r="A7" s="49" t="s">
        <v>42</v>
      </c>
      <c r="B7" s="48">
        <v>0.63977695167286242</v>
      </c>
      <c r="C7" s="60"/>
    </row>
    <row r="8" spans="1:3" ht="13.8" x14ac:dyDescent="0.25">
      <c r="A8" s="49" t="s">
        <v>43</v>
      </c>
      <c r="B8" s="48">
        <v>0.88064733648010785</v>
      </c>
      <c r="C8" s="60"/>
    </row>
    <row r="9" spans="1:3" ht="13.8" x14ac:dyDescent="0.25">
      <c r="A9" s="49" t="s">
        <v>44</v>
      </c>
      <c r="B9" s="48">
        <v>0.90623145400593474</v>
      </c>
      <c r="C9" s="60"/>
    </row>
    <row r="10" spans="1:3" ht="13.8" x14ac:dyDescent="0.25">
      <c r="A10" s="49" t="s">
        <v>45</v>
      </c>
      <c r="B10" s="48">
        <v>0.86055469953775043</v>
      </c>
      <c r="C10" s="60"/>
    </row>
    <row r="11" spans="1:3" ht="13.8" x14ac:dyDescent="0.25">
      <c r="A11" s="49" t="s">
        <v>46</v>
      </c>
      <c r="B11" s="48">
        <v>0.53872053872053871</v>
      </c>
      <c r="C11" s="60"/>
    </row>
    <row r="12" spans="1:3" ht="13.8" x14ac:dyDescent="0.25">
      <c r="A12" s="49" t="s">
        <v>47</v>
      </c>
      <c r="B12" s="48">
        <v>0.51206715634837352</v>
      </c>
      <c r="C12" s="60"/>
    </row>
    <row r="13" spans="1:3" ht="13.8" x14ac:dyDescent="0.25">
      <c r="A13" s="49" t="s">
        <v>48</v>
      </c>
      <c r="B13" s="48">
        <v>0.69938065745593136</v>
      </c>
      <c r="C13" s="60"/>
    </row>
    <row r="14" spans="1:3" ht="13.8" x14ac:dyDescent="0.25">
      <c r="A14" s="49" t="s">
        <v>61</v>
      </c>
      <c r="B14" s="48">
        <v>5.0737287095777166</v>
      </c>
      <c r="C14" s="60"/>
    </row>
    <row r="15" spans="1:3" ht="13.8" x14ac:dyDescent="0.25">
      <c r="A15" s="60"/>
      <c r="B15" s="60"/>
      <c r="C15" s="60"/>
    </row>
    <row r="16" spans="1:3" ht="13.8" x14ac:dyDescent="0.25">
      <c r="A16" s="60"/>
      <c r="B16" s="60"/>
      <c r="C16" s="60"/>
    </row>
    <row r="17" spans="1:2" ht="13.8" x14ac:dyDescent="0.25">
      <c r="A17" s="60"/>
      <c r="B17" s="60"/>
    </row>
  </sheetData>
  <pageMargins left="0.7" right="0.7" top="0.75" bottom="0.75" header="0.3" footer="0.3"/>
  <pageSetup paperSize="9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600BB-8BCA-47A7-8892-D5C7206221B3}">
  <sheetPr codeName="Hoja8"/>
  <dimension ref="A1:C17"/>
  <sheetViews>
    <sheetView workbookViewId="0">
      <selection activeCell="M9" sqref="M9"/>
    </sheetView>
  </sheetViews>
  <sheetFormatPr baseColWidth="10" defaultColWidth="11.5546875" defaultRowHeight="11.4" x14ac:dyDescent="0.2"/>
  <cols>
    <col min="1" max="1" width="19.109375" style="1" bestFit="1" customWidth="1"/>
    <col min="2" max="2" width="30.6640625" style="2" bestFit="1" customWidth="1"/>
    <col min="3" max="3" width="13.5546875" style="1" bestFit="1" customWidth="1"/>
    <col min="4" max="16384" width="11.5546875" style="1"/>
  </cols>
  <sheetData>
    <row r="1" spans="1:3" x14ac:dyDescent="0.2">
      <c r="A1" s="61" t="s">
        <v>2</v>
      </c>
      <c r="B1" s="62" t="s">
        <v>18</v>
      </c>
    </row>
    <row r="2" spans="1:3" x14ac:dyDescent="0.2">
      <c r="A2" s="61" t="s">
        <v>38</v>
      </c>
      <c r="B2" s="63">
        <v>2023</v>
      </c>
    </row>
    <row r="3" spans="1:3" ht="14.4" x14ac:dyDescent="0.3">
      <c r="A3"/>
      <c r="B3"/>
      <c r="C3"/>
    </row>
    <row r="4" spans="1:3" ht="14.4" x14ac:dyDescent="0.3">
      <c r="A4" s="61" t="s">
        <v>59</v>
      </c>
      <c r="B4" s="62" t="s">
        <v>64</v>
      </c>
      <c r="C4"/>
    </row>
    <row r="5" spans="1:3" ht="14.4" x14ac:dyDescent="0.3">
      <c r="A5" s="63" t="s">
        <v>40</v>
      </c>
      <c r="B5" s="62">
        <v>1103</v>
      </c>
      <c r="C5"/>
    </row>
    <row r="6" spans="1:3" ht="14.4" x14ac:dyDescent="0.3">
      <c r="A6" s="63" t="s">
        <v>41</v>
      </c>
      <c r="B6" s="62">
        <v>1738</v>
      </c>
      <c r="C6"/>
    </row>
    <row r="7" spans="1:3" ht="14.4" x14ac:dyDescent="0.3">
      <c r="A7" s="63" t="s">
        <v>42</v>
      </c>
      <c r="B7" s="62">
        <v>3976</v>
      </c>
      <c r="C7"/>
    </row>
    <row r="8" spans="1:3" ht="14.4" x14ac:dyDescent="0.3">
      <c r="A8" s="63" t="s">
        <v>43</v>
      </c>
      <c r="B8" s="62">
        <v>3391</v>
      </c>
      <c r="C8"/>
    </row>
    <row r="9" spans="1:3" ht="14.4" x14ac:dyDescent="0.3">
      <c r="A9" s="63" t="s">
        <v>44</v>
      </c>
      <c r="B9" s="62">
        <v>2532</v>
      </c>
      <c r="C9"/>
    </row>
    <row r="10" spans="1:3" ht="14.4" x14ac:dyDescent="0.3">
      <c r="A10" s="63" t="s">
        <v>45</v>
      </c>
      <c r="B10" s="62">
        <v>3567</v>
      </c>
      <c r="C10"/>
    </row>
    <row r="11" spans="1:3" ht="14.4" x14ac:dyDescent="0.3">
      <c r="A11" s="63" t="s">
        <v>46</v>
      </c>
      <c r="B11" s="62">
        <v>3201</v>
      </c>
      <c r="C11"/>
    </row>
    <row r="12" spans="1:3" ht="14.4" x14ac:dyDescent="0.3">
      <c r="A12" s="63" t="s">
        <v>47</v>
      </c>
      <c r="B12" s="62">
        <v>3600</v>
      </c>
      <c r="C12"/>
    </row>
    <row r="13" spans="1:3" ht="14.4" x14ac:dyDescent="0.3">
      <c r="A13" s="63" t="s">
        <v>48</v>
      </c>
      <c r="B13" s="62">
        <v>3009</v>
      </c>
      <c r="C13"/>
    </row>
    <row r="14" spans="1:3" ht="14.4" x14ac:dyDescent="0.3">
      <c r="A14" s="63" t="s">
        <v>61</v>
      </c>
      <c r="B14" s="62">
        <v>26117</v>
      </c>
      <c r="C14"/>
    </row>
    <row r="15" spans="1:3" ht="14.4" x14ac:dyDescent="0.3">
      <c r="A15"/>
      <c r="B15"/>
      <c r="C15"/>
    </row>
    <row r="16" spans="1:3" ht="14.4" x14ac:dyDescent="0.3">
      <c r="A16"/>
      <c r="B16"/>
      <c r="C16"/>
    </row>
    <row r="17" spans="1:2" ht="14.4" x14ac:dyDescent="0.3">
      <c r="A17"/>
      <c r="B17"/>
    </row>
  </sheetData>
  <pageMargins left="0.7" right="0.7" top="0.75" bottom="0.75" header="0.3" footer="0.3"/>
  <pageSetup paperSize="9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F22"/>
  <sheetViews>
    <sheetView topLeftCell="A9" workbookViewId="0">
      <selection activeCell="B20" sqref="B20:C22"/>
    </sheetView>
  </sheetViews>
  <sheetFormatPr baseColWidth="10" defaultColWidth="11.44140625" defaultRowHeight="13.8" x14ac:dyDescent="0.25"/>
  <cols>
    <col min="1" max="1" width="5.109375" style="74" bestFit="1" customWidth="1"/>
    <col min="2" max="2" width="10.88671875" style="74" bestFit="1" customWidth="1"/>
    <col min="3" max="3" width="34.88671875" style="74" bestFit="1" customWidth="1"/>
    <col min="4" max="16384" width="11.44140625" style="74"/>
  </cols>
  <sheetData>
    <row r="1" spans="1:6" ht="22.8" x14ac:dyDescent="0.25">
      <c r="A1" s="69" t="s">
        <v>0</v>
      </c>
      <c r="B1" s="69" t="s">
        <v>1</v>
      </c>
      <c r="C1" s="69" t="s">
        <v>2</v>
      </c>
      <c r="E1" s="68" t="s">
        <v>62</v>
      </c>
      <c r="F1" s="68" t="s">
        <v>63</v>
      </c>
    </row>
    <row r="2" spans="1:6" x14ac:dyDescent="0.25">
      <c r="A2" s="73">
        <v>2</v>
      </c>
      <c r="B2" s="73">
        <v>11116</v>
      </c>
      <c r="C2" s="71" t="s">
        <v>28</v>
      </c>
      <c r="D2" s="74">
        <v>1</v>
      </c>
      <c r="E2" s="74" t="s">
        <v>40</v>
      </c>
    </row>
    <row r="3" spans="1:6" x14ac:dyDescent="0.25">
      <c r="A3" s="73">
        <v>3</v>
      </c>
      <c r="B3" s="73">
        <v>234</v>
      </c>
      <c r="C3" s="71" t="s">
        <v>18</v>
      </c>
      <c r="D3" s="74">
        <v>2</v>
      </c>
      <c r="E3" s="74" t="s">
        <v>41</v>
      </c>
    </row>
    <row r="4" spans="1:6" x14ac:dyDescent="0.25">
      <c r="A4" s="73">
        <v>4</v>
      </c>
      <c r="B4" s="73">
        <v>11117</v>
      </c>
      <c r="C4" s="71" t="s">
        <v>15</v>
      </c>
      <c r="D4" s="74">
        <v>3</v>
      </c>
      <c r="E4" s="74" t="s">
        <v>42</v>
      </c>
    </row>
    <row r="5" spans="1:6" x14ac:dyDescent="0.25">
      <c r="A5" s="73">
        <v>5</v>
      </c>
      <c r="B5" s="73">
        <v>240</v>
      </c>
      <c r="C5" s="71" t="s">
        <v>23</v>
      </c>
      <c r="D5" s="74">
        <v>4</v>
      </c>
      <c r="E5" s="74" t="s">
        <v>43</v>
      </c>
    </row>
    <row r="6" spans="1:6" x14ac:dyDescent="0.25">
      <c r="A6" s="73">
        <v>6</v>
      </c>
      <c r="B6" s="73">
        <v>10951</v>
      </c>
      <c r="C6" s="71" t="s">
        <v>24</v>
      </c>
      <c r="D6" s="74">
        <v>5</v>
      </c>
      <c r="E6" s="74" t="s">
        <v>44</v>
      </c>
    </row>
    <row r="7" spans="1:6" x14ac:dyDescent="0.25">
      <c r="A7" s="73">
        <v>7</v>
      </c>
      <c r="B7" s="73">
        <v>10904</v>
      </c>
      <c r="C7" s="71" t="s">
        <v>29</v>
      </c>
      <c r="D7" s="74">
        <v>6</v>
      </c>
      <c r="E7" s="74" t="s">
        <v>45</v>
      </c>
    </row>
    <row r="8" spans="1:6" x14ac:dyDescent="0.25">
      <c r="A8" s="73">
        <v>8</v>
      </c>
      <c r="B8" s="73">
        <v>237</v>
      </c>
      <c r="C8" s="71" t="s">
        <v>31</v>
      </c>
      <c r="D8" s="74">
        <v>7</v>
      </c>
      <c r="E8" s="74" t="s">
        <v>46</v>
      </c>
    </row>
    <row r="9" spans="1:6" x14ac:dyDescent="0.25">
      <c r="A9" s="73">
        <v>9</v>
      </c>
      <c r="B9" s="73">
        <v>239</v>
      </c>
      <c r="C9" s="71" t="s">
        <v>32</v>
      </c>
      <c r="D9" s="74">
        <v>8</v>
      </c>
      <c r="E9" s="74" t="s">
        <v>47</v>
      </c>
    </row>
    <row r="10" spans="1:6" x14ac:dyDescent="0.25">
      <c r="A10" s="73">
        <v>10</v>
      </c>
      <c r="B10" s="73">
        <v>1557</v>
      </c>
      <c r="C10" s="71" t="s">
        <v>12</v>
      </c>
      <c r="D10" s="74">
        <v>9</v>
      </c>
      <c r="E10" s="74" t="s">
        <v>48</v>
      </c>
    </row>
    <row r="11" spans="1:6" x14ac:dyDescent="0.25">
      <c r="A11" s="73">
        <v>11</v>
      </c>
      <c r="B11" s="73">
        <v>236</v>
      </c>
      <c r="C11" s="71" t="s">
        <v>25</v>
      </c>
      <c r="D11" s="74">
        <v>10</v>
      </c>
      <c r="E11" s="74" t="s">
        <v>49</v>
      </c>
    </row>
    <row r="12" spans="1:6" x14ac:dyDescent="0.25">
      <c r="A12" s="73">
        <v>12</v>
      </c>
      <c r="B12" s="73">
        <v>246</v>
      </c>
      <c r="C12" s="71" t="s">
        <v>9</v>
      </c>
      <c r="D12" s="74">
        <v>11</v>
      </c>
      <c r="E12" s="74" t="s">
        <v>50</v>
      </c>
    </row>
    <row r="13" spans="1:6" x14ac:dyDescent="0.25">
      <c r="A13" s="73">
        <v>13</v>
      </c>
      <c r="B13" s="73">
        <v>11799</v>
      </c>
      <c r="C13" s="71" t="s">
        <v>21</v>
      </c>
      <c r="D13" s="74">
        <v>12</v>
      </c>
      <c r="E13" s="74" t="s">
        <v>51</v>
      </c>
    </row>
    <row r="14" spans="1:6" x14ac:dyDescent="0.25">
      <c r="A14" s="73">
        <v>14</v>
      </c>
      <c r="B14" s="73">
        <v>242</v>
      </c>
      <c r="C14" s="71" t="s">
        <v>7</v>
      </c>
    </row>
    <row r="15" spans="1:6" x14ac:dyDescent="0.25">
      <c r="A15" s="73">
        <v>15</v>
      </c>
      <c r="B15" s="73">
        <v>243</v>
      </c>
      <c r="C15" s="71" t="s">
        <v>34</v>
      </c>
    </row>
    <row r="16" spans="1:6" x14ac:dyDescent="0.25">
      <c r="A16" s="73">
        <v>16</v>
      </c>
      <c r="B16" s="73">
        <v>235</v>
      </c>
      <c r="C16" s="71" t="s">
        <v>33</v>
      </c>
    </row>
    <row r="17" spans="1:3" x14ac:dyDescent="0.25">
      <c r="A17" s="73">
        <v>17</v>
      </c>
      <c r="B17" s="73">
        <v>241</v>
      </c>
      <c r="C17" s="71" t="s">
        <v>30</v>
      </c>
    </row>
    <row r="18" spans="1:3" x14ac:dyDescent="0.25">
      <c r="A18" s="73">
        <v>18</v>
      </c>
      <c r="B18" s="73">
        <v>238</v>
      </c>
      <c r="C18" s="71" t="s">
        <v>35</v>
      </c>
    </row>
    <row r="19" spans="1:3" x14ac:dyDescent="0.25">
      <c r="A19" s="73">
        <v>19</v>
      </c>
      <c r="B19" s="73">
        <v>11882</v>
      </c>
      <c r="C19" s="71" t="s">
        <v>22</v>
      </c>
    </row>
    <row r="20" spans="1:3" x14ac:dyDescent="0.25">
      <c r="A20" s="75">
        <v>20</v>
      </c>
      <c r="B20" s="73" t="s">
        <v>68</v>
      </c>
      <c r="C20" s="72" t="s">
        <v>67</v>
      </c>
    </row>
    <row r="21" spans="1:3" x14ac:dyDescent="0.25">
      <c r="A21" s="75">
        <v>21</v>
      </c>
      <c r="B21" s="73" t="s">
        <v>69</v>
      </c>
      <c r="C21" s="72" t="s">
        <v>65</v>
      </c>
    </row>
    <row r="22" spans="1:3" x14ac:dyDescent="0.25">
      <c r="A22" s="75">
        <v>22</v>
      </c>
      <c r="B22" s="73" t="s">
        <v>70</v>
      </c>
      <c r="C22" s="72" t="s">
        <v>66</v>
      </c>
    </row>
  </sheetData>
  <phoneticPr fontId="20" type="noConversion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4</vt:i4>
      </vt:variant>
    </vt:vector>
  </HeadingPairs>
  <TitlesOfParts>
    <vt:vector size="12" baseType="lpstr">
      <vt:lpstr>Oportunidad_Anual</vt:lpstr>
      <vt:lpstr>Oportunidad_Mensual</vt:lpstr>
      <vt:lpstr>Data_Mensual</vt:lpstr>
      <vt:lpstr>Data_Anual</vt:lpstr>
      <vt:lpstr>Hoja1</vt:lpstr>
      <vt:lpstr>Grafico Por PPDD-Mes</vt:lpstr>
      <vt:lpstr>Grafico Produccion Por Año</vt:lpstr>
      <vt:lpstr>Tablas</vt:lpstr>
      <vt:lpstr>Oportunidad_Anual!Área_de_impresión</vt:lpstr>
      <vt:lpstr>Oportunidad_Mensual!Área_de_impresión</vt:lpstr>
      <vt:lpstr>Oportunidad_Mensual!BaseDeDatos</vt:lpstr>
      <vt:lpstr>BaseDeDatos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Lenin</dc:creator>
  <cp:keywords/>
  <dc:description/>
  <cp:lastModifiedBy>Lenin Gamonal</cp:lastModifiedBy>
  <cp:revision/>
  <dcterms:created xsi:type="dcterms:W3CDTF">2021-03-16T02:52:44Z</dcterms:created>
  <dcterms:modified xsi:type="dcterms:W3CDTF">2025-11-05T17:31:17Z</dcterms:modified>
  <cp:category/>
  <cp:contentStatus/>
</cp:coreProperties>
</file>
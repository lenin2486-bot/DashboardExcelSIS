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royectos_python\DashboardExcel\"/>
    </mc:Choice>
  </mc:AlternateContent>
  <xr:revisionPtr revIDLastSave="0" documentId="13_ncr:1_{74961A69-DB5E-4A54-893A-3ABF6F1D9F5C}" xr6:coauthVersionLast="47" xr6:coauthVersionMax="47" xr10:uidLastSave="{00000000-0000-0000-0000-000000000000}"/>
  <bookViews>
    <workbookView xWindow="-48" yWindow="-48" windowWidth="23136" windowHeight="12336" activeTab="3" xr2:uid="{00000000-000D-0000-FFFF-FFFF00000000}"/>
  </bookViews>
  <sheets>
    <sheet name="Oportunidad_Anual" sheetId="1" r:id="rId1"/>
    <sheet name="Oportunidad_Mensual" sheetId="5" r:id="rId2"/>
    <sheet name="Data_Mensual" sheetId="4" r:id="rId3"/>
    <sheet name="Data_Anual" sheetId="3" r:id="rId4"/>
    <sheet name="Hoja1" sheetId="6" state="hidden" r:id="rId5"/>
    <sheet name="Grafico Por PPDD-Mes" sheetId="7" r:id="rId6"/>
    <sheet name="Grafico Produccion Por Año" sheetId="8" r:id="rId7"/>
    <sheet name="Tablas" sheetId="2" r:id="rId8"/>
  </sheets>
  <definedNames>
    <definedName name="_xlnm._FilterDatabase" localSheetId="3" hidden="1">Data_Anual!$A$1:$I$70</definedName>
    <definedName name="_xlnm.Print_Area" localSheetId="0">Oportunidad_Anual!$A$1:$I$28</definedName>
    <definedName name="_xlnm.Print_Area" localSheetId="1">Oportunidad_Mensual!$A$1:$I$30</definedName>
    <definedName name="_xlnm.Database" localSheetId="1">Oportunidad_Mensual!$B$3:$F$19</definedName>
    <definedName name="_xlnm.Database">Oportunidad_Anual!$B$3:$F$20</definedName>
  </definedNames>
  <calcPr calcId="191029"/>
  <pivotCaches>
    <pivotCache cacheId="5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5" l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A2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A47" i="4" l="1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A24" i="4" l="1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F6" i="6" l="1"/>
  <c r="F5" i="6"/>
  <c r="D4" i="6"/>
  <c r="C4" i="6"/>
  <c r="N1" i="5"/>
  <c r="N1" i="1"/>
  <c r="M5" i="5" l="1"/>
  <c r="M17" i="5"/>
  <c r="M6" i="5"/>
  <c r="M18" i="5"/>
  <c r="M7" i="5"/>
  <c r="M19" i="5"/>
  <c r="M15" i="5"/>
  <c r="M8" i="5"/>
  <c r="M20" i="5"/>
  <c r="M9" i="5"/>
  <c r="M21" i="5"/>
  <c r="M26" i="5"/>
  <c r="M10" i="5"/>
  <c r="M22" i="5"/>
  <c r="M11" i="5"/>
  <c r="M23" i="5"/>
  <c r="M14" i="5"/>
  <c r="M16" i="5"/>
  <c r="M12" i="5"/>
  <c r="M24" i="5"/>
  <c r="M13" i="5"/>
  <c r="M25" i="5"/>
  <c r="M4" i="1"/>
  <c r="A1" i="5"/>
  <c r="M27" i="5"/>
  <c r="A1" i="1"/>
  <c r="F21" i="5" l="1"/>
  <c r="F19" i="5"/>
  <c r="F17" i="5"/>
  <c r="F23" i="5"/>
  <c r="F4" i="5"/>
  <c r="F15" i="5"/>
  <c r="F25" i="5"/>
  <c r="F14" i="5"/>
  <c r="F9" i="5"/>
  <c r="F12" i="5"/>
  <c r="F22" i="5"/>
  <c r="F11" i="5"/>
  <c r="F26" i="5"/>
  <c r="F18" i="5"/>
  <c r="F6" i="5"/>
  <c r="F24" i="5"/>
  <c r="F13" i="5"/>
  <c r="F8" i="5"/>
  <c r="F5" i="5"/>
  <c r="F7" i="5"/>
  <c r="F16" i="5"/>
  <c r="F20" i="5"/>
  <c r="D14" i="1"/>
  <c r="E14" i="1"/>
  <c r="D21" i="1"/>
  <c r="E21" i="1"/>
  <c r="D13" i="1"/>
  <c r="E13" i="1"/>
  <c r="F20" i="1"/>
  <c r="D20" i="1"/>
  <c r="E20" i="1"/>
  <c r="D24" i="1"/>
  <c r="E24" i="1"/>
  <c r="D16" i="1"/>
  <c r="E16" i="1"/>
  <c r="D19" i="1"/>
  <c r="E19" i="1"/>
  <c r="E18" i="1"/>
  <c r="D18" i="1"/>
  <c r="D9" i="1"/>
  <c r="E9" i="1"/>
  <c r="D25" i="1"/>
  <c r="E25" i="1"/>
  <c r="D17" i="1"/>
  <c r="E17" i="1"/>
  <c r="D11" i="1"/>
  <c r="E11" i="1"/>
  <c r="F7" i="1"/>
  <c r="E7" i="1"/>
  <c r="D7" i="1"/>
  <c r="E5" i="1"/>
  <c r="D5" i="1"/>
  <c r="D23" i="1"/>
  <c r="E23" i="1"/>
  <c r="D26" i="1"/>
  <c r="E26" i="1"/>
  <c r="D6" i="1"/>
  <c r="E6" i="1"/>
  <c r="D12" i="1"/>
  <c r="E12" i="1"/>
  <c r="D22" i="1"/>
  <c r="E22" i="1"/>
  <c r="D10" i="1"/>
  <c r="E10" i="1"/>
  <c r="D8" i="1"/>
  <c r="E8" i="1"/>
  <c r="D4" i="1"/>
  <c r="E4" i="1"/>
  <c r="E15" i="1"/>
  <c r="D15" i="1"/>
  <c r="E22" i="5"/>
  <c r="D22" i="5"/>
  <c r="D11" i="5"/>
  <c r="E11" i="5"/>
  <c r="D7" i="5"/>
  <c r="E7" i="5"/>
  <c r="F16" i="1"/>
  <c r="F9" i="1"/>
  <c r="F10" i="1"/>
  <c r="F17" i="1"/>
  <c r="D18" i="5"/>
  <c r="E21" i="5"/>
  <c r="D21" i="5"/>
  <c r="D14" i="5"/>
  <c r="E26" i="5"/>
  <c r="D13" i="5"/>
  <c r="E4" i="5"/>
  <c r="D9" i="5"/>
  <c r="D24" i="5"/>
  <c r="D16" i="5"/>
  <c r="E18" i="5"/>
  <c r="E24" i="5"/>
  <c r="D26" i="5"/>
  <c r="E8" i="5"/>
  <c r="E25" i="5"/>
  <c r="D19" i="5"/>
  <c r="D10" i="5"/>
  <c r="E12" i="5"/>
  <c r="E20" i="5"/>
  <c r="F10" i="5"/>
  <c r="E6" i="5"/>
  <c r="D4" i="5"/>
  <c r="E17" i="5"/>
  <c r="E14" i="5"/>
  <c r="D17" i="5"/>
  <c r="D12" i="5"/>
  <c r="D15" i="5"/>
  <c r="D25" i="5"/>
  <c r="D20" i="5"/>
  <c r="E16" i="5"/>
  <c r="E15" i="5"/>
  <c r="E9" i="5"/>
  <c r="E10" i="5"/>
  <c r="E5" i="5"/>
  <c r="D8" i="5"/>
  <c r="D23" i="5"/>
  <c r="E23" i="5"/>
  <c r="E13" i="5"/>
  <c r="E19" i="5"/>
  <c r="D6" i="5"/>
  <c r="D5" i="5"/>
  <c r="F23" i="1"/>
  <c r="F12" i="1"/>
  <c r="F11" i="1"/>
  <c r="F21" i="1"/>
  <c r="F26" i="1"/>
  <c r="F19" i="1"/>
  <c r="F14" i="1"/>
  <c r="F5" i="1"/>
  <c r="F15" i="1"/>
  <c r="F18" i="1"/>
  <c r="F6" i="1"/>
  <c r="F22" i="1"/>
  <c r="F13" i="1"/>
  <c r="F8" i="1"/>
  <c r="F24" i="1"/>
  <c r="F4" i="1"/>
  <c r="F25" i="1"/>
  <c r="E28" i="5" l="1"/>
  <c r="D28" i="5"/>
  <c r="D28" i="1"/>
  <c r="E28" i="1"/>
  <c r="F28" i="5" l="1"/>
  <c r="F28" i="1"/>
</calcChain>
</file>

<file path=xl/sharedStrings.xml><?xml version="1.0" encoding="utf-8"?>
<sst xmlns="http://schemas.openxmlformats.org/spreadsheetml/2006/main" count="458" uniqueCount="78">
  <si>
    <t>Nro.</t>
  </si>
  <si>
    <t>Codigo Punto de Digitacion</t>
  </si>
  <si>
    <t>Punto de Digitacion</t>
  </si>
  <si>
    <t>FUAs Digitados Oportunamente</t>
  </si>
  <si>
    <t>Total FUAs Digitados</t>
  </si>
  <si>
    <t>Indicador</t>
  </si>
  <si>
    <t>C.S. PLENITUD</t>
  </si>
  <si>
    <t>MICRORED NARANJITO</t>
  </si>
  <si>
    <t>%</t>
  </si>
  <si>
    <t>C.S. PIMPINCOS</t>
  </si>
  <si>
    <t>Bueno</t>
  </si>
  <si>
    <t>75-100</t>
  </si>
  <si>
    <t>C.S. SILLANGATE</t>
  </si>
  <si>
    <t>Regular</t>
  </si>
  <si>
    <t>60-74</t>
  </si>
  <si>
    <t>C.S. NUEVO ORIENTE</t>
  </si>
  <si>
    <t>En Proceso</t>
  </si>
  <si>
    <t>25-59</t>
  </si>
  <si>
    <t>C.S. CHIPLE</t>
  </si>
  <si>
    <t>Malo</t>
  </si>
  <si>
    <t>0-24</t>
  </si>
  <si>
    <t>C.S. SAN JUAN DE CUTERVO</t>
  </si>
  <si>
    <t>C.S. CUJILLO</t>
  </si>
  <si>
    <t>C.S. LA RAMADA</t>
  </si>
  <si>
    <t>C.S. SAN LUIS DE LUCMA</t>
  </si>
  <si>
    <t>C.S. QUEROCOTILLO</t>
  </si>
  <si>
    <t>C.S. MAMABAMBA</t>
  </si>
  <si>
    <t>C.S. SALOMON VILCHEZ MURGA</t>
  </si>
  <si>
    <t>C.S. SANTA CRUZ</t>
  </si>
  <si>
    <t>C.S. CHOROS</t>
  </si>
  <si>
    <t>C.S. SOCOTA</t>
  </si>
  <si>
    <t>C.S. SANTO DOMINGO DE LA CAPILLA</t>
  </si>
  <si>
    <t>C.S. SANTO TOMAS</t>
  </si>
  <si>
    <t>C.S. CALLAYUC</t>
  </si>
  <si>
    <t>C.S. SAN ANDRES DE CUTERVO</t>
  </si>
  <si>
    <t>TOTAL DISA</t>
  </si>
  <si>
    <t>Mes</t>
  </si>
  <si>
    <t>Año</t>
  </si>
  <si>
    <t>P.S. MAMABAMBA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</si>
  <si>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</si>
  <si>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</si>
  <si>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</si>
  <si>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</si>
  <si>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</si>
  <si>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</si>
  <si>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</si>
  <si>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</si>
  <si>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</si>
  <si>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</si>
  <si>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</si>
  <si>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</si>
  <si>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r>
      <rPr>
        <b/>
        <sz val="11"/>
        <color rgb="FFFF0000"/>
        <rFont val="Arial"/>
        <family val="2"/>
      </rPr>
      <t>dFechaCorteFin</t>
    </r>
    <r>
      <rPr>
        <sz val="11"/>
        <color theme="1"/>
        <rFont val="Arial"/>
        <family val="2"/>
      </rPr>
      <t>=TTOD(thisform.ctrDateTimePickerStart.value)</t>
    </r>
  </si>
  <si>
    <t>dFechaCorteFin</t>
  </si>
  <si>
    <r>
      <rPr>
        <b/>
        <sz val="11"/>
        <color theme="8" tint="-0.249977111117893"/>
        <rFont val="Arial"/>
        <family val="2"/>
      </rPr>
      <t>dFechaNacimM1aFin</t>
    </r>
    <r>
      <rPr>
        <sz val="11"/>
        <color theme="1"/>
        <rFont val="Arial"/>
        <family val="2"/>
      </rPr>
      <t>=</t>
    </r>
    <r>
      <rPr>
        <b/>
        <sz val="11"/>
        <color rgb="FFFF0000"/>
        <rFont val="Arial"/>
        <family val="2"/>
      </rPr>
      <t>dFechaCorteFin</t>
    </r>
    <r>
      <rPr>
        <sz val="11"/>
        <color theme="1"/>
        <rFont val="Arial"/>
        <family val="2"/>
      </rPr>
      <t>-365</t>
    </r>
  </si>
  <si>
    <t>dFechaNacimM1aFin</t>
  </si>
  <si>
    <r>
      <t xml:space="preserve">  SELECT * from s_aseg_actual WHERE </t>
    </r>
    <r>
      <rPr>
        <b/>
        <sz val="10"/>
        <color rgb="FF00B050"/>
        <rFont val="Arial"/>
        <family val="2"/>
      </rPr>
      <t>afi_fecnac</t>
    </r>
    <r>
      <rPr>
        <sz val="10"/>
        <color theme="1"/>
        <rFont val="Arial"/>
        <family val="2"/>
      </rPr>
      <t xml:space="preserve"> between </t>
    </r>
    <r>
      <rPr>
        <b/>
        <sz val="10"/>
        <color rgb="FFFF0000"/>
        <rFont val="Arial"/>
        <family val="2"/>
      </rPr>
      <t>dFechaNacimM1aFin</t>
    </r>
    <r>
      <rPr>
        <sz val="10"/>
        <color theme="1"/>
        <rFont val="Arial"/>
        <family val="2"/>
      </rPr>
      <t xml:space="preserve"> AND </t>
    </r>
    <r>
      <rPr>
        <b/>
        <sz val="10"/>
        <color rgb="FF0070C0"/>
        <rFont val="Arial"/>
        <family val="2"/>
      </rPr>
      <t xml:space="preserve">DATE() </t>
    </r>
    <r>
      <rPr>
        <sz val="10"/>
        <color theme="1"/>
        <rFont val="Arial"/>
        <family val="2"/>
      </rPr>
      <t>and ALLTRIM(activo) like "SI" AND VAL(afi_dni)&gt;0;</t>
    </r>
  </si>
  <si>
    <t>Asegurados Menores de 1 Año hasta la fecha actual</t>
  </si>
  <si>
    <t xml:space="preserve">   into TABLE TmpEvalPorFecNac</t>
  </si>
  <si>
    <t>Etiquetas de fila</t>
  </si>
  <si>
    <t>Suma de Indicador</t>
  </si>
  <si>
    <t>Total general</t>
  </si>
  <si>
    <t>Meses</t>
  </si>
  <si>
    <t>Años</t>
  </si>
  <si>
    <t>Suma de Total FUAs Digitados</t>
  </si>
  <si>
    <t>C.S. SUMIDERO</t>
  </si>
  <si>
    <t>C.S. SACILIA</t>
  </si>
  <si>
    <t>C.S. SINCHIMACHE</t>
  </si>
  <si>
    <t>12163</t>
  </si>
  <si>
    <t>12166</t>
  </si>
  <si>
    <t>12165</t>
  </si>
  <si>
    <t>Indicador *Oportunidad Anual de Digitación SIS*. Corte del 01-01-2025 al 31-03-2025.</t>
  </si>
  <si>
    <t>Indicador *Oportunidad Mensual de Digitación SIS (a 10 Días)*. Corte del 01-03-2025 al 31-03-2025</t>
  </si>
  <si>
    <t>Formula</t>
  </si>
  <si>
    <t>Nro</t>
  </si>
  <si>
    <t>Ppdd</t>
  </si>
  <si>
    <t>CodPpdd</t>
  </si>
  <si>
    <t>Oportunos</t>
  </si>
  <si>
    <t>Total_Fuas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</si>
</sst>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9"/>
      <color theme="1"/>
      <name val="Arial"/>
      <family val="2"/>
    </font>
    <font>
      <sz val="8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color theme="8" tint="-0.249977111117893"/>
      <name val="Arial"/>
      <family val="2"/>
    </font>
    <font>
      <b/>
      <sz val="10"/>
      <color rgb="FF00B050"/>
      <name val="Arial"/>
      <family val="2"/>
    </font>
    <font>
      <b/>
      <sz val="10"/>
      <color rgb="FF0070C0"/>
      <name val="Arial"/>
      <family val="2"/>
    </font>
    <font>
      <b/>
      <sz val="12"/>
      <color theme="1"/>
      <name val="Bahnschrift Light"/>
      <family val="2"/>
    </font>
    <font>
      <sz val="9"/>
      <color theme="1"/>
      <name val="Bahnschrift Light"/>
      <family val="2"/>
    </font>
    <font>
      <b/>
      <sz val="10"/>
      <color theme="1"/>
      <name val="Bahnschrift Light"/>
      <family val="2"/>
    </font>
    <font>
      <sz val="10"/>
      <color theme="1"/>
      <name val="Bahnschrift Light"/>
      <family val="2"/>
    </font>
    <font>
      <sz val="12"/>
      <color theme="1"/>
      <name val="Bahnschrift Light"/>
      <family val="2"/>
    </font>
    <font>
      <b/>
      <sz val="12"/>
      <color rgb="FFFF0000"/>
      <name val="Bahnschrift Light"/>
      <family val="2"/>
    </font>
    <font>
      <b/>
      <sz val="12"/>
      <color theme="0"/>
      <name val="Bahnschrift Light"/>
      <family val="2"/>
    </font>
    <font>
      <b/>
      <sz val="16"/>
      <color theme="1"/>
      <name val="Bahnschrift Light"/>
      <family val="2"/>
    </font>
    <font>
      <b/>
      <sz val="15"/>
      <color theme="1"/>
      <name val="Bahnschrift Light"/>
      <family val="2"/>
    </font>
    <font>
      <sz val="11"/>
      <color theme="1"/>
      <name val="Bahnschrift Light"/>
      <family val="2"/>
    </font>
    <font>
      <sz val="9"/>
      <color theme="1"/>
      <name val="Arial Rounded MT Bold"/>
    </font>
    <font>
      <b/>
      <sz val="9"/>
      <color theme="1"/>
      <name val="Bahnschrift"/>
      <family val="2"/>
    </font>
    <font>
      <sz val="11"/>
      <color theme="1"/>
      <name val="Bahnschrift"/>
      <family val="2"/>
    </font>
    <font>
      <sz val="9"/>
      <color theme="1"/>
      <name val="Bahnschrift"/>
      <family val="2"/>
    </font>
    <font>
      <sz val="11"/>
      <color rgb="FF000000"/>
      <name val="Bahnschrift Light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7C8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</borders>
  <cellStyleXfs count="5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4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80">
    <xf numFmtId="0" fontId="0" fillId="0" borderId="0" xfId="0"/>
    <xf numFmtId="0" fontId="19" fillId="0" borderId="0" xfId="0" applyFont="1"/>
    <xf numFmtId="0" fontId="19" fillId="0" borderId="0" xfId="0" applyFont="1" applyAlignment="1">
      <alignment horizontal="center"/>
    </xf>
    <xf numFmtId="14" fontId="23" fillId="0" borderId="0" xfId="0" applyNumberFormat="1" applyFont="1"/>
    <xf numFmtId="14" fontId="23" fillId="0" borderId="0" xfId="0" applyNumberFormat="1" applyFont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left"/>
    </xf>
    <xf numFmtId="0" fontId="24" fillId="0" borderId="0" xfId="0" applyFont="1"/>
    <xf numFmtId="0" fontId="25" fillId="0" borderId="0" xfId="0" applyFont="1" applyAlignment="1">
      <alignment horizontal="left"/>
    </xf>
    <xf numFmtId="0" fontId="23" fillId="0" borderId="0" xfId="0" applyFont="1" applyAlignment="1">
      <alignment vertical="center" wrapText="1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left" vertical="center"/>
    </xf>
    <xf numFmtId="0" fontId="22" fillId="0" borderId="0" xfId="0" applyFont="1"/>
    <xf numFmtId="0" fontId="32" fillId="34" borderId="12" xfId="0" applyFont="1" applyFill="1" applyBorder="1"/>
    <xf numFmtId="0" fontId="32" fillId="34" borderId="13" xfId="0" applyFont="1" applyFill="1" applyBorder="1"/>
    <xf numFmtId="0" fontId="32" fillId="34" borderId="0" xfId="0" applyFont="1" applyFill="1"/>
    <xf numFmtId="0" fontId="33" fillId="34" borderId="0" xfId="0" applyFont="1" applyFill="1" applyAlignment="1">
      <alignment horizontal="center"/>
    </xf>
    <xf numFmtId="0" fontId="32" fillId="0" borderId="0" xfId="0" applyFont="1"/>
    <xf numFmtId="1" fontId="32" fillId="0" borderId="0" xfId="0" applyNumberFormat="1" applyFont="1"/>
    <xf numFmtId="1" fontId="32" fillId="34" borderId="0" xfId="0" applyNumberFormat="1" applyFont="1" applyFill="1"/>
    <xf numFmtId="2" fontId="32" fillId="34" borderId="0" xfId="0" applyNumberFormat="1" applyFont="1" applyFill="1"/>
    <xf numFmtId="0" fontId="32" fillId="34" borderId="14" xfId="0" applyFont="1" applyFill="1" applyBorder="1"/>
    <xf numFmtId="1" fontId="28" fillId="33" borderId="17" xfId="0" applyNumberFormat="1" applyFont="1" applyFill="1" applyBorder="1" applyAlignment="1">
      <alignment horizontal="center" vertical="center" wrapText="1"/>
    </xf>
    <xf numFmtId="1" fontId="32" fillId="0" borderId="10" xfId="0" applyNumberFormat="1" applyFont="1" applyBorder="1" applyAlignment="1">
      <alignment horizontal="center"/>
    </xf>
    <xf numFmtId="1" fontId="32" fillId="34" borderId="10" xfId="0" applyNumberFormat="1" applyFont="1" applyFill="1" applyBorder="1"/>
    <xf numFmtId="10" fontId="34" fillId="0" borderId="10" xfId="49" applyNumberFormat="1" applyFont="1" applyBorder="1" applyAlignment="1">
      <alignment horizontal="center"/>
    </xf>
    <xf numFmtId="0" fontId="28" fillId="34" borderId="11" xfId="0" applyFont="1" applyFill="1" applyBorder="1" applyAlignment="1">
      <alignment horizontal="center"/>
    </xf>
    <xf numFmtId="1" fontId="28" fillId="34" borderId="11" xfId="0" applyNumberFormat="1" applyFont="1" applyFill="1" applyBorder="1"/>
    <xf numFmtId="1" fontId="34" fillId="35" borderId="11" xfId="0" applyNumberFormat="1" applyFont="1" applyFill="1" applyBorder="1" applyAlignment="1">
      <alignment horizontal="center"/>
    </xf>
    <xf numFmtId="1" fontId="28" fillId="38" borderId="11" xfId="0" applyNumberFormat="1" applyFont="1" applyFill="1" applyBorder="1" applyAlignment="1">
      <alignment horizontal="center"/>
    </xf>
    <xf numFmtId="164" fontId="28" fillId="39" borderId="10" xfId="49" applyNumberFormat="1" applyFont="1" applyFill="1" applyBorder="1" applyAlignment="1">
      <alignment horizontal="center"/>
    </xf>
    <xf numFmtId="1" fontId="34" fillId="36" borderId="11" xfId="0" applyNumberFormat="1" applyFont="1" applyFill="1" applyBorder="1" applyAlignment="1">
      <alignment horizontal="center"/>
    </xf>
    <xf numFmtId="9" fontId="32" fillId="34" borderId="0" xfId="49" applyFont="1" applyFill="1"/>
    <xf numFmtId="0" fontId="32" fillId="34" borderId="0" xfId="0" applyFont="1" applyFill="1" applyAlignment="1">
      <alignment horizontal="center"/>
    </xf>
    <xf numFmtId="1" fontId="28" fillId="37" borderId="18" xfId="0" applyNumberFormat="1" applyFont="1" applyFill="1" applyBorder="1" applyAlignment="1">
      <alignment horizontal="center" vertical="center"/>
    </xf>
    <xf numFmtId="10" fontId="28" fillId="37" borderId="18" xfId="49" applyNumberFormat="1" applyFont="1" applyFill="1" applyBorder="1" applyAlignment="1">
      <alignment horizontal="center" vertical="center"/>
    </xf>
    <xf numFmtId="0" fontId="32" fillId="34" borderId="15" xfId="0" applyFont="1" applyFill="1" applyBorder="1" applyAlignment="1">
      <alignment vertical="center"/>
    </xf>
    <xf numFmtId="0" fontId="32" fillId="34" borderId="16" xfId="0" applyFont="1" applyFill="1" applyBorder="1" applyAlignment="1">
      <alignment vertical="center"/>
    </xf>
    <xf numFmtId="0" fontId="32" fillId="34" borderId="0" xfId="0" applyFont="1" applyFill="1" applyAlignment="1">
      <alignment vertical="center"/>
    </xf>
    <xf numFmtId="0" fontId="32" fillId="0" borderId="0" xfId="0" applyFont="1" applyAlignment="1">
      <alignment vertical="center"/>
    </xf>
    <xf numFmtId="1" fontId="32" fillId="34" borderId="0" xfId="0" applyNumberFormat="1" applyFont="1" applyFill="1" applyAlignment="1">
      <alignment horizontal="center"/>
    </xf>
    <xf numFmtId="2" fontId="32" fillId="0" borderId="0" xfId="0" applyNumberFormat="1" applyFont="1"/>
    <xf numFmtId="0" fontId="31" fillId="0" borderId="0" xfId="0" applyFont="1" applyAlignment="1">
      <alignment horizontal="center"/>
    </xf>
    <xf numFmtId="1" fontId="30" fillId="33" borderId="17" xfId="0" applyNumberFormat="1" applyFont="1" applyFill="1" applyBorder="1" applyAlignment="1">
      <alignment horizontal="center" vertical="center" wrapText="1"/>
    </xf>
    <xf numFmtId="1" fontId="30" fillId="33" borderId="19" xfId="0" applyNumberFormat="1" applyFont="1" applyFill="1" applyBorder="1" applyAlignment="1">
      <alignment horizontal="center" vertical="center" wrapText="1"/>
    </xf>
    <xf numFmtId="0" fontId="29" fillId="0" borderId="0" xfId="0" applyFont="1"/>
    <xf numFmtId="0" fontId="29" fillId="0" borderId="0" xfId="0" applyFont="1" applyAlignment="1">
      <alignment horizontal="center"/>
    </xf>
    <xf numFmtId="0" fontId="29" fillId="0" borderId="0" xfId="0" applyFont="1" applyAlignment="1">
      <alignment horizontal="left"/>
    </xf>
    <xf numFmtId="0" fontId="31" fillId="0" borderId="0" xfId="0" applyFont="1" applyAlignment="1">
      <alignment horizontal="left"/>
    </xf>
    <xf numFmtId="10" fontId="31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1" fontId="32" fillId="0" borderId="10" xfId="0" applyNumberFormat="1" applyFont="1" applyBorder="1"/>
    <xf numFmtId="10" fontId="33" fillId="0" borderId="10" xfId="49" applyNumberFormat="1" applyFont="1" applyBorder="1" applyAlignment="1">
      <alignment horizontal="center"/>
    </xf>
    <xf numFmtId="10" fontId="29" fillId="0" borderId="0" xfId="0" applyNumberFormat="1" applyFont="1"/>
    <xf numFmtId="10" fontId="34" fillId="0" borderId="21" xfId="49" applyNumberFormat="1" applyFont="1" applyBorder="1" applyAlignment="1">
      <alignment horizontal="center"/>
    </xf>
    <xf numFmtId="10" fontId="34" fillId="0" borderId="11" xfId="49" applyNumberFormat="1" applyFont="1" applyBorder="1" applyAlignment="1">
      <alignment horizontal="center"/>
    </xf>
    <xf numFmtId="0" fontId="29" fillId="0" borderId="0" xfId="0" pivotButton="1" applyFont="1"/>
    <xf numFmtId="0" fontId="37" fillId="0" borderId="0" xfId="0" applyFont="1"/>
    <xf numFmtId="0" fontId="38" fillId="0" borderId="0" xfId="0" pivotButton="1" applyFont="1"/>
    <xf numFmtId="0" fontId="38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1" fontId="37" fillId="0" borderId="0" xfId="0" applyNumberFormat="1" applyFont="1" applyAlignment="1">
      <alignment horizontal="center"/>
    </xf>
    <xf numFmtId="1" fontId="37" fillId="0" borderId="0" xfId="0" applyNumberFormat="1" applyFont="1"/>
    <xf numFmtId="1" fontId="32" fillId="0" borderId="19" xfId="0" applyNumberFormat="1" applyFont="1" applyBorder="1" applyAlignment="1">
      <alignment horizontal="center"/>
    </xf>
    <xf numFmtId="10" fontId="34" fillId="0" borderId="19" xfId="49" applyNumberFormat="1" applyFont="1" applyBorder="1" applyAlignment="1">
      <alignment horizontal="center"/>
    </xf>
    <xf numFmtId="1" fontId="39" fillId="33" borderId="20" xfId="0" applyNumberFormat="1" applyFont="1" applyFill="1" applyBorder="1" applyAlignment="1">
      <alignment horizontal="center" vertical="center" wrapText="1"/>
    </xf>
    <xf numFmtId="1" fontId="39" fillId="33" borderId="11" xfId="0" applyNumberFormat="1" applyFont="1" applyFill="1" applyBorder="1" applyAlignment="1">
      <alignment horizontal="center" vertical="center" wrapText="1"/>
    </xf>
    <xf numFmtId="1" fontId="32" fillId="0" borderId="19" xfId="0" applyNumberFormat="1" applyFont="1" applyBorder="1"/>
    <xf numFmtId="1" fontId="41" fillId="0" borderId="10" xfId="0" applyNumberFormat="1" applyFont="1" applyBorder="1"/>
    <xf numFmtId="1" fontId="41" fillId="0" borderId="19" xfId="0" applyNumberFormat="1" applyFont="1" applyBorder="1"/>
    <xf numFmtId="1" fontId="41" fillId="0" borderId="10" xfId="0" applyNumberFormat="1" applyFont="1" applyBorder="1" applyAlignment="1">
      <alignment horizontal="center"/>
    </xf>
    <xf numFmtId="0" fontId="40" fillId="0" borderId="0" xfId="0" applyFont="1"/>
    <xf numFmtId="1" fontId="41" fillId="0" borderId="19" xfId="0" applyNumberFormat="1" applyFont="1" applyBorder="1" applyAlignment="1">
      <alignment horizontal="center"/>
    </xf>
    <xf numFmtId="1" fontId="32" fillId="34" borderId="19" xfId="0" applyNumberFormat="1" applyFont="1" applyFill="1" applyBorder="1"/>
    <xf numFmtId="0" fontId="32" fillId="0" borderId="10" xfId="0" applyFont="1" applyBorder="1"/>
    <xf numFmtId="0" fontId="42" fillId="0" borderId="0" xfId="0" applyFont="1" applyAlignment="1">
      <alignment horizontal="center"/>
    </xf>
    <xf numFmtId="0" fontId="42" fillId="0" borderId="0" xfId="0" applyFont="1"/>
    <xf numFmtId="0" fontId="36" fillId="34" borderId="0" xfId="0" applyFont="1" applyFill="1" applyAlignment="1">
      <alignment horizontal="center" vertical="center" wrapText="1"/>
    </xf>
    <xf numFmtId="1" fontId="28" fillId="37" borderId="18" xfId="0" applyNumberFormat="1" applyFont="1" applyFill="1" applyBorder="1" applyAlignment="1">
      <alignment horizontal="center" vertical="center"/>
    </xf>
    <xf numFmtId="0" fontId="35" fillId="34" borderId="0" xfId="0" applyFont="1" applyFill="1" applyAlignment="1">
      <alignment horizontal="center"/>
    </xf>
  </cellXfs>
  <cellStyles count="50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1 2" xfId="43" xr:uid="{00000000-0005-0000-0000-00000D000000}"/>
    <cellStyle name="60% - Énfasis2" xfId="25" builtinId="36" customBuiltin="1"/>
    <cellStyle name="60% - Énfasis2 2" xfId="44" xr:uid="{00000000-0005-0000-0000-00000F000000}"/>
    <cellStyle name="60% - Énfasis3" xfId="29" builtinId="40" customBuiltin="1"/>
    <cellStyle name="60% - Énfasis3 2" xfId="45" xr:uid="{00000000-0005-0000-0000-000011000000}"/>
    <cellStyle name="60% - Énfasis4" xfId="33" builtinId="44" customBuiltin="1"/>
    <cellStyle name="60% - Énfasis4 2" xfId="46" xr:uid="{00000000-0005-0000-0000-000013000000}"/>
    <cellStyle name="60% - Énfasis5" xfId="37" builtinId="48" customBuiltin="1"/>
    <cellStyle name="60% - Énfasis5 2" xfId="47" xr:uid="{00000000-0005-0000-0000-000015000000}"/>
    <cellStyle name="60% - Énfasis6" xfId="41" builtinId="52" customBuiltin="1"/>
    <cellStyle name="60% - Énfasis6 2" xfId="48" xr:uid="{00000000-0005-0000-0000-000017000000}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eutral 2" xfId="42" xr:uid="{00000000-0005-0000-0000-000027000000}"/>
    <cellStyle name="Normal" xfId="0" builtinId="0"/>
    <cellStyle name="Notas" xfId="15" builtinId="10" customBuiltin="1"/>
    <cellStyle name="Porcentaje" xfId="49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4"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7C80"/>
        </patternFill>
      </fill>
    </dxf>
    <dxf>
      <font>
        <color auto="1"/>
      </font>
      <fill>
        <patternFill>
          <bgColor rgb="FFFFCC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7C80"/>
        </patternFill>
      </fill>
    </dxf>
    <dxf>
      <font>
        <color auto="1"/>
      </font>
      <fill>
        <patternFill>
          <bgColor rgb="FFFFCC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7C80"/>
        </patternFill>
      </fill>
    </dxf>
    <dxf>
      <font>
        <color auto="1"/>
      </font>
      <fill>
        <patternFill>
          <bgColor rgb="FFFFCC00"/>
        </patternFill>
      </fill>
    </dxf>
    <dxf>
      <font>
        <color theme="0"/>
      </font>
      <fill>
        <patternFill>
          <bgColor rgb="FF00B050"/>
        </patternFill>
      </fill>
    </dxf>
    <dxf>
      <font>
        <name val="Arial Rounded MT Bold"/>
      </font>
    </dxf>
    <dxf>
      <font>
        <name val="Arial Rounded MT Bold"/>
      </font>
    </dxf>
    <dxf>
      <font>
        <name val="Arial Rounded MT Bold"/>
      </font>
    </dxf>
    <dxf>
      <font>
        <name val="Arial Rounded MT Bold"/>
      </font>
    </dxf>
    <dxf>
      <font>
        <name val="Arial Rounded MT Bold"/>
      </font>
    </dxf>
    <dxf>
      <font>
        <name val="Arial Rounded MT Bold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Bahnschrift Light"/>
        <family val="2"/>
        <scheme val="none"/>
      </font>
    </dxf>
    <dxf>
      <font>
        <name val="Bahnschrift Light"/>
        <family val="2"/>
        <scheme val="none"/>
      </font>
    </dxf>
    <dxf>
      <font>
        <name val="Bahnschrift Light"/>
        <family val="2"/>
        <scheme val="none"/>
      </font>
    </dxf>
    <dxf>
      <font>
        <name val="Bahnschrift Light"/>
        <family val="2"/>
        <scheme val="none"/>
      </font>
    </dxf>
    <dxf>
      <font>
        <name val="Bahnschrift Light"/>
        <family val="2"/>
        <scheme val="none"/>
      </font>
    </dxf>
    <dxf>
      <font>
        <name val="Bahnschrift Light"/>
        <family val="2"/>
        <scheme val="none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</dxfs>
  <tableStyles count="0" defaultTableStyle="TableStyleMedium2" defaultPivotStyle="PivotStyleLight16"/>
  <colors>
    <mruColors>
      <color rgb="FFFF5050"/>
      <color rgb="FFFF7C80"/>
      <color rgb="FFFFCC00"/>
      <color rgb="FFFFCC66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[Oportunidad_Digitacion_SIS_2025_Controles.xlsm]Grafico Por PPDD-Mes!TablaDinámica1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dk1"/>
                </a:solidFill>
                <a:latin typeface="Arial Rounded MT Bold" panose="020F0704030504030204" pitchFamily="34" charset="0"/>
                <a:ea typeface="+mn-ea"/>
                <a:cs typeface="+mn-cs"/>
              </a:defRPr>
            </a:pPr>
            <a:r>
              <a:rPr lang="en-US" sz="1200" b="0">
                <a:latin typeface="Arial Rounded MT Bold" panose="020F0704030504030204" pitchFamily="34" charset="0"/>
              </a:rPr>
              <a:t>Oportunidad de Digitación Por Mes - 2023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dk1"/>
              </a:solidFill>
              <a:latin typeface="Arial Rounded MT Bold" panose="020F0704030504030204" pitchFamily="34" charset="0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dk1"/>
                  </a:solidFill>
                  <a:latin typeface="Arial Rounded MT Bold" panose="020F0704030504030204" pitchFamily="34" charset="0"/>
                  <a:ea typeface="+mn-ea"/>
                  <a:cs typeface="Arial" panose="020B0604020202020204" pitchFamily="34" charset="0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Por PPDD-Mes'!$B$4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Arial Rounded MT Bold" panose="020F070403050403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 Por PPDD-Mes'!$A$5:$A$14</c:f>
              <c:strCache>
                <c:ptCount val="9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</c:strCache>
            </c:strRef>
          </c:cat>
          <c:val>
            <c:numRef>
              <c:f>'Grafico Por PPDD-Mes'!$B$5:$B$14</c:f>
              <c:numCache>
                <c:formatCode>General</c:formatCode>
                <c:ptCount val="9"/>
                <c:pt idx="0">
                  <c:v>1.4689265536723164E-2</c:v>
                </c:pt>
                <c:pt idx="1">
                  <c:v>2.1660649819494584E-2</c:v>
                </c:pt>
                <c:pt idx="2">
                  <c:v>0.63977695167286242</c:v>
                </c:pt>
                <c:pt idx="3">
                  <c:v>0.88064733648010785</c:v>
                </c:pt>
                <c:pt idx="4">
                  <c:v>0.90623145400593474</c:v>
                </c:pt>
                <c:pt idx="5">
                  <c:v>0.86055469953775043</c:v>
                </c:pt>
                <c:pt idx="6">
                  <c:v>0.53872053872053871</c:v>
                </c:pt>
                <c:pt idx="7">
                  <c:v>0.51206715634837352</c:v>
                </c:pt>
                <c:pt idx="8">
                  <c:v>0.69938065745593136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F8-4460-B7A5-1C3182689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9487567"/>
        <c:axId val="789487983"/>
      </c:lineChart>
      <c:catAx>
        <c:axId val="789487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Bahnschrift Light" panose="020B0502040204020203" pitchFamily="34" charset="0"/>
                <a:ea typeface="+mn-ea"/>
                <a:cs typeface="Arial" panose="020B0604020202020204" pitchFamily="34" charset="0"/>
              </a:defRPr>
            </a:pPr>
            <a:endParaRPr lang="es-419"/>
          </a:p>
        </c:txPr>
        <c:crossAx val="789487983"/>
        <c:crosses val="autoZero"/>
        <c:auto val="1"/>
        <c:lblAlgn val="ctr"/>
        <c:lblOffset val="100"/>
        <c:noMultiLvlLbl val="0"/>
      </c:catAx>
      <c:valAx>
        <c:axId val="78948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419"/>
          </a:p>
        </c:txPr>
        <c:crossAx val="789487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[Oportunidad_Digitacion_SIS_2025_Controles.xlsm]Grafico Produccion Por Año!TablaDinámica1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Bahnschrift Light" panose="020B0502040204020203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latin typeface="Bahnschrift Light" panose="020B0502040204020203" pitchFamily="34" charset="0"/>
                <a:cs typeface="Arial" panose="020B0604020202020204" pitchFamily="34" charset="0"/>
              </a:rPr>
              <a:t>Digitación SIS - 2023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Bahnschrift Light" panose="020B0502040204020203" pitchFamily="34" charset="0"/>
              <a:ea typeface="+mn-ea"/>
              <a:cs typeface="Arial" panose="020B0604020202020204" pitchFamily="34" charset="0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dk1"/>
                  </a:solidFill>
                  <a:latin typeface="Arial Rounded MT Bold" panose="020F0704030504030204" pitchFamily="34" charset="0"/>
                  <a:ea typeface="+mn-ea"/>
                  <a:cs typeface="Arial" panose="020B0604020202020204" pitchFamily="34" charset="0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dk1"/>
                  </a:solidFill>
                  <a:latin typeface="Arial Rounded MT Bold" panose="020F0704030504030204" pitchFamily="34" charset="0"/>
                  <a:ea typeface="+mn-ea"/>
                  <a:cs typeface="Arial" panose="020B0604020202020204" pitchFamily="34" charset="0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Produccion Por Año'!$B$4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 Produccion Por Año'!$A$5:$A$14</c:f>
              <c:strCache>
                <c:ptCount val="9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</c:strCache>
            </c:strRef>
          </c:cat>
          <c:val>
            <c:numRef>
              <c:f>'Grafico Produccion Por Año'!$B$5:$B$14</c:f>
              <c:numCache>
                <c:formatCode>General</c:formatCode>
                <c:ptCount val="9"/>
                <c:pt idx="0">
                  <c:v>1103</c:v>
                </c:pt>
                <c:pt idx="1">
                  <c:v>1738</c:v>
                </c:pt>
                <c:pt idx="2">
                  <c:v>3976</c:v>
                </c:pt>
                <c:pt idx="3">
                  <c:v>3391</c:v>
                </c:pt>
                <c:pt idx="4">
                  <c:v>2532</c:v>
                </c:pt>
                <c:pt idx="5">
                  <c:v>3567</c:v>
                </c:pt>
                <c:pt idx="6">
                  <c:v>3201</c:v>
                </c:pt>
                <c:pt idx="7">
                  <c:v>3600</c:v>
                </c:pt>
                <c:pt idx="8">
                  <c:v>3009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09-4ACC-8F4C-2D68215FE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9487567"/>
        <c:axId val="789487983"/>
      </c:lineChart>
      <c:catAx>
        <c:axId val="789487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419"/>
          </a:p>
        </c:txPr>
        <c:crossAx val="789487983"/>
        <c:crosses val="autoZero"/>
        <c:auto val="1"/>
        <c:lblAlgn val="ctr"/>
        <c:lblOffset val="100"/>
        <c:noMultiLvlLbl val="0"/>
      </c:catAx>
      <c:valAx>
        <c:axId val="78948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419"/>
          </a:p>
        </c:txPr>
        <c:crossAx val="789487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$M$1" fmlaRange="Tablas!$E$2:$E$13" noThreeD="1" sel="3" val="0"/>
</file>

<file path=xl/ctrlProps/ctrlProp2.xml><?xml version="1.0" encoding="utf-8"?>
<formControlPr xmlns="http://schemas.microsoft.com/office/spreadsheetml/2009/9/main" objectType="Drop" dropStyle="combo" dx="26" fmlaLink="$M$1" fmlaRange="Tablas!$E$2:$E$13" noThreeD="1" sel="3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68580</xdr:rowOff>
        </xdr:from>
        <xdr:to>
          <xdr:col>10</xdr:col>
          <xdr:colOff>495300</xdr:colOff>
          <xdr:row>1</xdr:row>
          <xdr:rowOff>144780</xdr:rowOff>
        </xdr:to>
        <xdr:sp macro="" textlink="">
          <xdr:nvSpPr>
            <xdr:cNvPr id="1025" name="CommandButton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2</xdr:row>
          <xdr:rowOff>266700</xdr:rowOff>
        </xdr:from>
        <xdr:to>
          <xdr:col>15</xdr:col>
          <xdr:colOff>22860</xdr:colOff>
          <xdr:row>3</xdr:row>
          <xdr:rowOff>68580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335280</xdr:colOff>
          <xdr:row>0</xdr:row>
          <xdr:rowOff>160020</xdr:rowOff>
        </xdr:from>
        <xdr:to>
          <xdr:col>10</xdr:col>
          <xdr:colOff>708660</xdr:colOff>
          <xdr:row>2</xdr:row>
          <xdr:rowOff>266700</xdr:rowOff>
        </xdr:to>
        <xdr:sp macro="" textlink="">
          <xdr:nvSpPr>
            <xdr:cNvPr id="5121" name="CommandButton2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281940</xdr:colOff>
          <xdr:row>2</xdr:row>
          <xdr:rowOff>365760</xdr:rowOff>
        </xdr:from>
        <xdr:to>
          <xdr:col>11</xdr:col>
          <xdr:colOff>213360</xdr:colOff>
          <xdr:row>2</xdr:row>
          <xdr:rowOff>891540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807721</xdr:colOff>
      <xdr:row>0</xdr:row>
      <xdr:rowOff>47625</xdr:rowOff>
    </xdr:from>
    <xdr:to>
      <xdr:col>10</xdr:col>
      <xdr:colOff>171451</xdr:colOff>
      <xdr:row>20</xdr:row>
      <xdr:rowOff>108585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645795</xdr:colOff>
      <xdr:row>0</xdr:row>
      <xdr:rowOff>85724</xdr:rowOff>
    </xdr:from>
    <xdr:to>
      <xdr:col>11</xdr:col>
      <xdr:colOff>123825</xdr:colOff>
      <xdr:row>20</xdr:row>
      <xdr:rowOff>148589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in" refreshedDate="45224.383220023148" createdVersion="8" refreshedVersion="8" minRefreshableVersion="3" recordCount="441" xr:uid="{139933F6-0D7E-4C9A-98D2-D90DBCF7C794}">
  <cacheSource type="worksheet">
    <worksheetSource ref="B1:I1" sheet="Data_Mensual"/>
  </cacheSource>
  <cacheFields count="8">
    <cacheField name="Nro." numFmtId="0">
      <sharedItems containsSemiMixedTypes="0" containsString="0" containsNumber="1" containsInteger="1" minValue="1" maxValue="21"/>
    </cacheField>
    <cacheField name="Codigo Punto de Digitacion" numFmtId="0">
      <sharedItems containsSemiMixedTypes="0" containsString="0" containsNumber="1" containsInteger="1" minValue="233" maxValue="28745"/>
    </cacheField>
    <cacheField name="Punto de Digitacion" numFmtId="0">
      <sharedItems count="22">
        <s v="P.S. MAMABAMBA"/>
        <s v="C.S. NUEVO ORIENTE"/>
        <s v="C.S. CALLAYUC"/>
        <s v="HOSP. SANTA MARIA DE CUTERVO"/>
        <s v="C.S. SAN JUAN DE CUTERVO"/>
        <s v="C.S. SILLANGATE"/>
        <s v="C.S. CUJILLO"/>
        <s v="C.S. SAN ANDRES DE CUTERVO"/>
        <s v="C.S. PLENITUD"/>
        <s v="C.S. SAN LUIS DE LUCMA"/>
        <s v="C.S. SALOMON VILCHEZ MURGA"/>
        <s v="C.S. CHIPLE"/>
        <s v="MICRORED NARANJITO"/>
        <s v="C.S. SANTA CRUZ"/>
        <s v="C.S. SANTO TOMAS"/>
        <s v="C.S. SOCOTA"/>
        <s v="C.S. CHOROS"/>
        <s v="C.S. PIMPINCOS"/>
        <s v="C.S. LA RAMADA"/>
        <s v="C.S. SANTO DOMINGO DE LA CAPILLA"/>
        <s v="C.S. QUEROCOTILLO"/>
        <s v="C.S. MAMABAMBA"/>
      </sharedItems>
    </cacheField>
    <cacheField name="FUAs Digitados Oportunamente" numFmtId="0">
      <sharedItems containsSemiMixedTypes="0" containsString="0" containsNumber="1" containsInteger="1" minValue="6" maxValue="11059"/>
    </cacheField>
    <cacheField name="Total FUAs Digitados" numFmtId="0">
      <sharedItems containsSemiMixedTypes="0" containsString="0" containsNumber="1" containsInteger="1" minValue="49" maxValue="12708"/>
    </cacheField>
    <cacheField name="Indicador" numFmtId="10">
      <sharedItems containsSemiMixedTypes="0" containsString="0" containsNumber="1" minValue="1.4689265536723164E-2" maxValue="1"/>
    </cacheField>
    <cacheField name="M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Año" numFmtId="0">
      <sharedItems containsSemiMixedTypes="0" containsString="0" containsNumber="1" containsInteger="1" minValue="2022" maxValue="2023" count="2">
        <n v="2022"/>
        <n v="202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1">
  <r>
    <n v="1"/>
    <n v="11931"/>
    <x v="0"/>
    <n v="874"/>
    <n v="884"/>
    <n v="0.99"/>
    <x v="0"/>
    <x v="0"/>
  </r>
  <r>
    <n v="2"/>
    <n v="11117"/>
    <x v="1"/>
    <n v="7054"/>
    <n v="7251"/>
    <n v="0.97"/>
    <x v="0"/>
    <x v="0"/>
  </r>
  <r>
    <n v="3"/>
    <n v="243"/>
    <x v="2"/>
    <n v="2594"/>
    <n v="2708"/>
    <n v="0.96"/>
    <x v="0"/>
    <x v="0"/>
  </r>
  <r>
    <n v="4"/>
    <n v="233"/>
    <x v="3"/>
    <n v="3438"/>
    <n v="3656"/>
    <n v="0.94"/>
    <x v="0"/>
    <x v="0"/>
  </r>
  <r>
    <n v="5"/>
    <n v="11799"/>
    <x v="4"/>
    <n v="1180"/>
    <n v="1267"/>
    <n v="0.93"/>
    <x v="0"/>
    <x v="0"/>
  </r>
  <r>
    <n v="6"/>
    <n v="1557"/>
    <x v="5"/>
    <n v="896"/>
    <n v="967"/>
    <n v="0.93"/>
    <x v="0"/>
    <x v="0"/>
  </r>
  <r>
    <n v="7"/>
    <n v="11882"/>
    <x v="6"/>
    <n v="878"/>
    <n v="964"/>
    <n v="0.91"/>
    <x v="0"/>
    <x v="0"/>
  </r>
  <r>
    <n v="8"/>
    <n v="238"/>
    <x v="7"/>
    <n v="1175"/>
    <n v="1302"/>
    <n v="0.9"/>
    <x v="0"/>
    <x v="0"/>
  </r>
  <r>
    <n v="9"/>
    <n v="28745"/>
    <x v="8"/>
    <n v="85"/>
    <n v="94"/>
    <n v="0.9"/>
    <x v="0"/>
    <x v="0"/>
  </r>
  <r>
    <n v="10"/>
    <n v="10951"/>
    <x v="9"/>
    <n v="1356"/>
    <n v="1588"/>
    <n v="0.85"/>
    <x v="0"/>
    <x v="0"/>
  </r>
  <r>
    <n v="11"/>
    <n v="11116"/>
    <x v="10"/>
    <n v="7040"/>
    <n v="8300"/>
    <n v="0.85"/>
    <x v="0"/>
    <x v="0"/>
  </r>
  <r>
    <n v="12"/>
    <n v="234"/>
    <x v="11"/>
    <n v="2549"/>
    <n v="3195"/>
    <n v="0.8"/>
    <x v="0"/>
    <x v="0"/>
  </r>
  <r>
    <n v="13"/>
    <n v="242"/>
    <x v="12"/>
    <n v="1576"/>
    <n v="2079"/>
    <n v="0.76"/>
    <x v="0"/>
    <x v="0"/>
  </r>
  <r>
    <n v="14"/>
    <n v="10904"/>
    <x v="13"/>
    <n v="1122"/>
    <n v="1582"/>
    <n v="0.71"/>
    <x v="0"/>
    <x v="0"/>
  </r>
  <r>
    <n v="15"/>
    <n v="235"/>
    <x v="14"/>
    <n v="2272"/>
    <n v="3366"/>
    <n v="0.67"/>
    <x v="0"/>
    <x v="0"/>
  </r>
  <r>
    <n v="16"/>
    <n v="237"/>
    <x v="15"/>
    <n v="2474"/>
    <n v="3687"/>
    <n v="0.67"/>
    <x v="0"/>
    <x v="0"/>
  </r>
  <r>
    <n v="17"/>
    <n v="241"/>
    <x v="16"/>
    <n v="1231"/>
    <n v="1951"/>
    <n v="0.63"/>
    <x v="0"/>
    <x v="0"/>
  </r>
  <r>
    <n v="18"/>
    <n v="246"/>
    <x v="17"/>
    <n v="1705"/>
    <n v="2936"/>
    <n v="0.57999999999999996"/>
    <x v="0"/>
    <x v="0"/>
  </r>
  <r>
    <n v="19"/>
    <n v="240"/>
    <x v="18"/>
    <n v="1396"/>
    <n v="2653"/>
    <n v="0.53"/>
    <x v="0"/>
    <x v="0"/>
  </r>
  <r>
    <n v="20"/>
    <n v="239"/>
    <x v="19"/>
    <n v="1313"/>
    <n v="2693"/>
    <n v="0.49"/>
    <x v="0"/>
    <x v="0"/>
  </r>
  <r>
    <n v="21"/>
    <n v="236"/>
    <x v="20"/>
    <n v="352"/>
    <n v="1727"/>
    <n v="0.2"/>
    <x v="0"/>
    <x v="0"/>
  </r>
  <r>
    <n v="1"/>
    <n v="11931"/>
    <x v="0"/>
    <n v="784"/>
    <n v="804"/>
    <n v="0.98"/>
    <x v="1"/>
    <x v="0"/>
  </r>
  <r>
    <n v="2"/>
    <n v="11117"/>
    <x v="1"/>
    <n v="6630"/>
    <n v="6865"/>
    <n v="0.97"/>
    <x v="1"/>
    <x v="0"/>
  </r>
  <r>
    <n v="3"/>
    <n v="233"/>
    <x v="3"/>
    <n v="3504"/>
    <n v="3613"/>
    <n v="0.97"/>
    <x v="1"/>
    <x v="0"/>
  </r>
  <r>
    <n v="4"/>
    <n v="10951"/>
    <x v="9"/>
    <n v="1623"/>
    <n v="1727"/>
    <n v="0.94"/>
    <x v="1"/>
    <x v="0"/>
  </r>
  <r>
    <n v="5"/>
    <n v="243"/>
    <x v="2"/>
    <n v="2188"/>
    <n v="2316"/>
    <n v="0.94"/>
    <x v="1"/>
    <x v="0"/>
  </r>
  <r>
    <n v="6"/>
    <n v="238"/>
    <x v="7"/>
    <n v="1482"/>
    <n v="1602"/>
    <n v="0.93"/>
    <x v="1"/>
    <x v="0"/>
  </r>
  <r>
    <n v="7"/>
    <n v="11799"/>
    <x v="4"/>
    <n v="1050"/>
    <n v="1172"/>
    <n v="0.9"/>
    <x v="1"/>
    <x v="0"/>
  </r>
  <r>
    <n v="8"/>
    <n v="28745"/>
    <x v="8"/>
    <n v="153"/>
    <n v="176"/>
    <n v="0.87"/>
    <x v="1"/>
    <x v="0"/>
  </r>
  <r>
    <n v="9"/>
    <n v="242"/>
    <x v="12"/>
    <n v="2236"/>
    <n v="2630"/>
    <n v="0.85"/>
    <x v="1"/>
    <x v="0"/>
  </r>
  <r>
    <n v="10"/>
    <n v="235"/>
    <x v="14"/>
    <n v="2331"/>
    <n v="2761"/>
    <n v="0.84"/>
    <x v="1"/>
    <x v="0"/>
  </r>
  <r>
    <n v="11"/>
    <n v="11116"/>
    <x v="10"/>
    <n v="6346"/>
    <n v="7624"/>
    <n v="0.83"/>
    <x v="1"/>
    <x v="0"/>
  </r>
  <r>
    <n v="12"/>
    <n v="237"/>
    <x v="15"/>
    <n v="2111"/>
    <n v="2554"/>
    <n v="0.83"/>
    <x v="1"/>
    <x v="0"/>
  </r>
  <r>
    <n v="13"/>
    <n v="11882"/>
    <x v="6"/>
    <n v="644"/>
    <n v="786"/>
    <n v="0.82"/>
    <x v="1"/>
    <x v="0"/>
  </r>
  <r>
    <n v="14"/>
    <n v="239"/>
    <x v="19"/>
    <n v="2098"/>
    <n v="2610"/>
    <n v="0.8"/>
    <x v="1"/>
    <x v="0"/>
  </r>
  <r>
    <n v="15"/>
    <n v="240"/>
    <x v="18"/>
    <n v="1873"/>
    <n v="2404"/>
    <n v="0.78"/>
    <x v="1"/>
    <x v="0"/>
  </r>
  <r>
    <n v="16"/>
    <n v="241"/>
    <x v="16"/>
    <n v="1407"/>
    <n v="1846"/>
    <n v="0.76"/>
    <x v="1"/>
    <x v="0"/>
  </r>
  <r>
    <n v="17"/>
    <n v="1557"/>
    <x v="5"/>
    <n v="727"/>
    <n v="973"/>
    <n v="0.75"/>
    <x v="1"/>
    <x v="0"/>
  </r>
  <r>
    <n v="18"/>
    <n v="10904"/>
    <x v="13"/>
    <n v="744"/>
    <n v="1040"/>
    <n v="0.72"/>
    <x v="1"/>
    <x v="0"/>
  </r>
  <r>
    <n v="19"/>
    <n v="246"/>
    <x v="17"/>
    <n v="1133"/>
    <n v="1684"/>
    <n v="0.67"/>
    <x v="1"/>
    <x v="0"/>
  </r>
  <r>
    <n v="20"/>
    <n v="234"/>
    <x v="11"/>
    <n v="2250"/>
    <n v="3443"/>
    <n v="0.65"/>
    <x v="1"/>
    <x v="0"/>
  </r>
  <r>
    <n v="21"/>
    <n v="236"/>
    <x v="20"/>
    <n v="321"/>
    <n v="2374"/>
    <n v="0.14000000000000001"/>
    <x v="1"/>
    <x v="0"/>
  </r>
  <r>
    <n v="1"/>
    <n v="11117"/>
    <x v="1"/>
    <n v="8630"/>
    <n v="8887"/>
    <n v="0.97"/>
    <x v="2"/>
    <x v="0"/>
  </r>
  <r>
    <n v="2"/>
    <n v="1557"/>
    <x v="5"/>
    <n v="1520"/>
    <n v="1576"/>
    <n v="0.96"/>
    <x v="2"/>
    <x v="0"/>
  </r>
  <r>
    <n v="3"/>
    <n v="10951"/>
    <x v="9"/>
    <n v="2007"/>
    <n v="2123"/>
    <n v="0.95"/>
    <x v="2"/>
    <x v="0"/>
  </r>
  <r>
    <n v="4"/>
    <n v="233"/>
    <x v="3"/>
    <n v="6116"/>
    <n v="6413"/>
    <n v="0.95"/>
    <x v="2"/>
    <x v="0"/>
  </r>
  <r>
    <n v="5"/>
    <n v="238"/>
    <x v="7"/>
    <n v="1295"/>
    <n v="1357"/>
    <n v="0.95"/>
    <x v="2"/>
    <x v="0"/>
  </r>
  <r>
    <n v="6"/>
    <n v="28745"/>
    <x v="8"/>
    <n v="223"/>
    <n v="241"/>
    <n v="0.93"/>
    <x v="2"/>
    <x v="0"/>
  </r>
  <r>
    <n v="7"/>
    <n v="11882"/>
    <x v="6"/>
    <n v="1171"/>
    <n v="1302"/>
    <n v="0.9"/>
    <x v="2"/>
    <x v="0"/>
  </r>
  <r>
    <n v="8"/>
    <n v="235"/>
    <x v="14"/>
    <n v="1988"/>
    <n v="2203"/>
    <n v="0.9"/>
    <x v="2"/>
    <x v="0"/>
  </r>
  <r>
    <n v="9"/>
    <n v="239"/>
    <x v="19"/>
    <n v="2704"/>
    <n v="3037"/>
    <n v="0.89"/>
    <x v="2"/>
    <x v="0"/>
  </r>
  <r>
    <n v="10"/>
    <n v="243"/>
    <x v="2"/>
    <n v="2678"/>
    <n v="3019"/>
    <n v="0.89"/>
    <x v="2"/>
    <x v="0"/>
  </r>
  <r>
    <n v="11"/>
    <n v="236"/>
    <x v="20"/>
    <n v="2599"/>
    <n v="2972"/>
    <n v="0.87"/>
    <x v="2"/>
    <x v="0"/>
  </r>
  <r>
    <n v="12"/>
    <n v="240"/>
    <x v="18"/>
    <n v="2785"/>
    <n v="3193"/>
    <n v="0.87"/>
    <x v="2"/>
    <x v="0"/>
  </r>
  <r>
    <n v="13"/>
    <n v="11931"/>
    <x v="0"/>
    <n v="1859"/>
    <n v="2145"/>
    <n v="0.87"/>
    <x v="2"/>
    <x v="0"/>
  </r>
  <r>
    <n v="14"/>
    <n v="11116"/>
    <x v="10"/>
    <n v="8156"/>
    <n v="9528"/>
    <n v="0.86"/>
    <x v="2"/>
    <x v="0"/>
  </r>
  <r>
    <n v="15"/>
    <n v="11799"/>
    <x v="4"/>
    <n v="1137"/>
    <n v="1380"/>
    <n v="0.82"/>
    <x v="2"/>
    <x v="0"/>
  </r>
  <r>
    <n v="16"/>
    <n v="237"/>
    <x v="15"/>
    <n v="2475"/>
    <n v="3090"/>
    <n v="0.8"/>
    <x v="2"/>
    <x v="0"/>
  </r>
  <r>
    <n v="17"/>
    <n v="10904"/>
    <x v="13"/>
    <n v="838"/>
    <n v="1154"/>
    <n v="0.73"/>
    <x v="2"/>
    <x v="0"/>
  </r>
  <r>
    <n v="18"/>
    <n v="241"/>
    <x v="16"/>
    <n v="1365"/>
    <n v="1888"/>
    <n v="0.72"/>
    <x v="2"/>
    <x v="0"/>
  </r>
  <r>
    <n v="19"/>
    <n v="242"/>
    <x v="12"/>
    <n v="1998"/>
    <n v="2901"/>
    <n v="0.69"/>
    <x v="2"/>
    <x v="0"/>
  </r>
  <r>
    <n v="20"/>
    <n v="246"/>
    <x v="17"/>
    <n v="1735"/>
    <n v="2735"/>
    <n v="0.63"/>
    <x v="2"/>
    <x v="0"/>
  </r>
  <r>
    <n v="21"/>
    <n v="234"/>
    <x v="11"/>
    <n v="2566"/>
    <n v="4610"/>
    <n v="0.56000000000000005"/>
    <x v="2"/>
    <x v="0"/>
  </r>
  <r>
    <n v="1"/>
    <n v="1557"/>
    <x v="5"/>
    <n v="1798"/>
    <n v="1812"/>
    <n v="0.99"/>
    <x v="3"/>
    <x v="0"/>
  </r>
  <r>
    <n v="2"/>
    <n v="10951"/>
    <x v="9"/>
    <n v="1382"/>
    <n v="1444"/>
    <n v="0.96"/>
    <x v="3"/>
    <x v="0"/>
  </r>
  <r>
    <n v="3"/>
    <n v="11117"/>
    <x v="1"/>
    <n v="7472"/>
    <n v="7895"/>
    <n v="0.95"/>
    <x v="3"/>
    <x v="0"/>
  </r>
  <r>
    <n v="4"/>
    <n v="233"/>
    <x v="3"/>
    <n v="6736"/>
    <n v="7143"/>
    <n v="0.94"/>
    <x v="3"/>
    <x v="0"/>
  </r>
  <r>
    <n v="5"/>
    <n v="236"/>
    <x v="20"/>
    <n v="3132"/>
    <n v="3328"/>
    <n v="0.94"/>
    <x v="3"/>
    <x v="0"/>
  </r>
  <r>
    <n v="6"/>
    <n v="28745"/>
    <x v="8"/>
    <n v="46"/>
    <n v="49"/>
    <n v="0.94"/>
    <x v="3"/>
    <x v="0"/>
  </r>
  <r>
    <n v="7"/>
    <n v="238"/>
    <x v="7"/>
    <n v="1872"/>
    <n v="2095"/>
    <n v="0.89"/>
    <x v="3"/>
    <x v="0"/>
  </r>
  <r>
    <n v="8"/>
    <n v="11882"/>
    <x v="6"/>
    <n v="986"/>
    <n v="1120"/>
    <n v="0.88"/>
    <x v="3"/>
    <x v="0"/>
  </r>
  <r>
    <n v="9"/>
    <n v="11116"/>
    <x v="10"/>
    <n v="6820"/>
    <n v="7931"/>
    <n v="0.86"/>
    <x v="3"/>
    <x v="0"/>
  </r>
  <r>
    <n v="10"/>
    <n v="11931"/>
    <x v="21"/>
    <n v="2402"/>
    <n v="2819"/>
    <n v="0.85"/>
    <x v="3"/>
    <x v="0"/>
  </r>
  <r>
    <n v="11"/>
    <n v="11799"/>
    <x v="4"/>
    <n v="1150"/>
    <n v="1413"/>
    <n v="0.81"/>
    <x v="3"/>
    <x v="0"/>
  </r>
  <r>
    <n v="12"/>
    <n v="234"/>
    <x v="11"/>
    <n v="3150"/>
    <n v="3946"/>
    <n v="0.8"/>
    <x v="3"/>
    <x v="0"/>
  </r>
  <r>
    <n v="13"/>
    <n v="243"/>
    <x v="2"/>
    <n v="1773"/>
    <n v="2279"/>
    <n v="0.78"/>
    <x v="3"/>
    <x v="0"/>
  </r>
  <r>
    <n v="14"/>
    <n v="239"/>
    <x v="19"/>
    <n v="2379"/>
    <n v="3153"/>
    <n v="0.75"/>
    <x v="3"/>
    <x v="0"/>
  </r>
  <r>
    <n v="15"/>
    <n v="10904"/>
    <x v="13"/>
    <n v="1098"/>
    <n v="1519"/>
    <n v="0.72"/>
    <x v="3"/>
    <x v="0"/>
  </r>
  <r>
    <n v="16"/>
    <n v="240"/>
    <x v="18"/>
    <n v="1533"/>
    <n v="2229"/>
    <n v="0.69"/>
    <x v="3"/>
    <x v="0"/>
  </r>
  <r>
    <n v="17"/>
    <n v="241"/>
    <x v="16"/>
    <n v="1574"/>
    <n v="2449"/>
    <n v="0.64"/>
    <x v="3"/>
    <x v="0"/>
  </r>
  <r>
    <n v="18"/>
    <n v="235"/>
    <x v="14"/>
    <n v="1371"/>
    <n v="2335"/>
    <n v="0.59"/>
    <x v="3"/>
    <x v="0"/>
  </r>
  <r>
    <n v="19"/>
    <n v="237"/>
    <x v="15"/>
    <n v="1216"/>
    <n v="2206"/>
    <n v="0.55000000000000004"/>
    <x v="3"/>
    <x v="0"/>
  </r>
  <r>
    <n v="20"/>
    <n v="246"/>
    <x v="17"/>
    <n v="1383"/>
    <n v="2942"/>
    <n v="0.47"/>
    <x v="3"/>
    <x v="0"/>
  </r>
  <r>
    <n v="21"/>
    <n v="242"/>
    <x v="12"/>
    <n v="711"/>
    <n v="1806"/>
    <n v="0.39"/>
    <x v="3"/>
    <x v="0"/>
  </r>
  <r>
    <n v="1"/>
    <n v="10951"/>
    <x v="9"/>
    <n v="1776"/>
    <n v="1827"/>
    <n v="0.97"/>
    <x v="4"/>
    <x v="0"/>
  </r>
  <r>
    <n v="2"/>
    <n v="236"/>
    <x v="20"/>
    <n v="5579"/>
    <n v="5746"/>
    <n v="0.97"/>
    <x v="4"/>
    <x v="0"/>
  </r>
  <r>
    <n v="3"/>
    <n v="11117"/>
    <x v="1"/>
    <n v="10729"/>
    <n v="11134"/>
    <n v="0.96"/>
    <x v="4"/>
    <x v="0"/>
  </r>
  <r>
    <n v="4"/>
    <n v="1557"/>
    <x v="5"/>
    <n v="1747"/>
    <n v="1853"/>
    <n v="0.94"/>
    <x v="4"/>
    <x v="0"/>
  </r>
  <r>
    <n v="5"/>
    <n v="240"/>
    <x v="18"/>
    <n v="2686"/>
    <n v="2896"/>
    <n v="0.93"/>
    <x v="4"/>
    <x v="0"/>
  </r>
  <r>
    <n v="6"/>
    <n v="11882"/>
    <x v="6"/>
    <n v="923"/>
    <n v="1025"/>
    <n v="0.9"/>
    <x v="4"/>
    <x v="0"/>
  </r>
  <r>
    <n v="7"/>
    <n v="234"/>
    <x v="11"/>
    <n v="3723"/>
    <n v="4218"/>
    <n v="0.88"/>
    <x v="4"/>
    <x v="0"/>
  </r>
  <r>
    <n v="8"/>
    <n v="11116"/>
    <x v="10"/>
    <n v="11059"/>
    <n v="12708"/>
    <n v="0.87"/>
    <x v="4"/>
    <x v="0"/>
  </r>
  <r>
    <n v="9"/>
    <n v="233"/>
    <x v="3"/>
    <n v="6840"/>
    <n v="7957"/>
    <n v="0.86"/>
    <x v="4"/>
    <x v="0"/>
  </r>
  <r>
    <n v="10"/>
    <n v="238"/>
    <x v="7"/>
    <n v="1429"/>
    <n v="1685"/>
    <n v="0.85"/>
    <x v="4"/>
    <x v="0"/>
  </r>
  <r>
    <n v="11"/>
    <n v="11931"/>
    <x v="21"/>
    <n v="2334"/>
    <n v="2971"/>
    <n v="0.79"/>
    <x v="4"/>
    <x v="0"/>
  </r>
  <r>
    <n v="12"/>
    <n v="11799"/>
    <x v="4"/>
    <n v="853"/>
    <n v="1094"/>
    <n v="0.78"/>
    <x v="4"/>
    <x v="0"/>
  </r>
  <r>
    <n v="13"/>
    <n v="10904"/>
    <x v="13"/>
    <n v="1136"/>
    <n v="1483"/>
    <n v="0.77"/>
    <x v="4"/>
    <x v="0"/>
  </r>
  <r>
    <n v="14"/>
    <n v="241"/>
    <x v="16"/>
    <n v="1365"/>
    <n v="1897"/>
    <n v="0.72"/>
    <x v="4"/>
    <x v="0"/>
  </r>
  <r>
    <n v="15"/>
    <n v="239"/>
    <x v="19"/>
    <n v="2616"/>
    <n v="3718"/>
    <n v="0.7"/>
    <x v="4"/>
    <x v="0"/>
  </r>
  <r>
    <n v="16"/>
    <n v="28745"/>
    <x v="8"/>
    <n v="210"/>
    <n v="337"/>
    <n v="0.62"/>
    <x v="4"/>
    <x v="0"/>
  </r>
  <r>
    <n v="17"/>
    <n v="243"/>
    <x v="2"/>
    <n v="2020"/>
    <n v="3537"/>
    <n v="0.56999999999999995"/>
    <x v="4"/>
    <x v="0"/>
  </r>
  <r>
    <n v="18"/>
    <n v="246"/>
    <x v="17"/>
    <n v="2291"/>
    <n v="3998"/>
    <n v="0.56999999999999995"/>
    <x v="4"/>
    <x v="0"/>
  </r>
  <r>
    <n v="19"/>
    <n v="242"/>
    <x v="12"/>
    <n v="1726"/>
    <n v="3678"/>
    <n v="0.47"/>
    <x v="4"/>
    <x v="0"/>
  </r>
  <r>
    <n v="20"/>
    <n v="235"/>
    <x v="14"/>
    <n v="1219"/>
    <n v="3229"/>
    <n v="0.38"/>
    <x v="4"/>
    <x v="0"/>
  </r>
  <r>
    <n v="21"/>
    <n v="237"/>
    <x v="15"/>
    <n v="593"/>
    <n v="1647"/>
    <n v="0.36"/>
    <x v="4"/>
    <x v="0"/>
  </r>
  <r>
    <n v="1"/>
    <n v="236"/>
    <x v="20"/>
    <n v="2448"/>
    <n v="2462"/>
    <n v="0.99"/>
    <x v="5"/>
    <x v="0"/>
  </r>
  <r>
    <n v="2"/>
    <n v="11117"/>
    <x v="1"/>
    <n v="7869"/>
    <n v="8103"/>
    <n v="0.97"/>
    <x v="5"/>
    <x v="0"/>
  </r>
  <r>
    <n v="3"/>
    <n v="1557"/>
    <x v="5"/>
    <n v="1246"/>
    <n v="1315"/>
    <n v="0.95"/>
    <x v="5"/>
    <x v="0"/>
  </r>
  <r>
    <n v="4"/>
    <n v="11882"/>
    <x v="6"/>
    <n v="855"/>
    <n v="907"/>
    <n v="0.94"/>
    <x v="5"/>
    <x v="0"/>
  </r>
  <r>
    <n v="5"/>
    <n v="10951"/>
    <x v="9"/>
    <n v="1520"/>
    <n v="1629"/>
    <n v="0.93"/>
    <x v="5"/>
    <x v="0"/>
  </r>
  <r>
    <n v="6"/>
    <n v="11931"/>
    <x v="21"/>
    <n v="1917"/>
    <n v="2127"/>
    <n v="0.9"/>
    <x v="5"/>
    <x v="0"/>
  </r>
  <r>
    <n v="7"/>
    <n v="240"/>
    <x v="18"/>
    <n v="2768"/>
    <n v="3086"/>
    <n v="0.9"/>
    <x v="5"/>
    <x v="0"/>
  </r>
  <r>
    <n v="8"/>
    <n v="11116"/>
    <x v="10"/>
    <n v="6231"/>
    <n v="7126"/>
    <n v="0.87"/>
    <x v="5"/>
    <x v="0"/>
  </r>
  <r>
    <n v="9"/>
    <n v="233"/>
    <x v="3"/>
    <n v="5352"/>
    <n v="6268"/>
    <n v="0.85"/>
    <x v="5"/>
    <x v="0"/>
  </r>
  <r>
    <n v="10"/>
    <n v="234"/>
    <x v="11"/>
    <n v="3474"/>
    <n v="4138"/>
    <n v="0.84"/>
    <x v="5"/>
    <x v="0"/>
  </r>
  <r>
    <n v="11"/>
    <n v="238"/>
    <x v="7"/>
    <n v="1628"/>
    <n v="1949"/>
    <n v="0.84"/>
    <x v="5"/>
    <x v="0"/>
  </r>
  <r>
    <n v="12"/>
    <n v="28745"/>
    <x v="8"/>
    <n v="217"/>
    <n v="273"/>
    <n v="0.79"/>
    <x v="5"/>
    <x v="0"/>
  </r>
  <r>
    <n v="13"/>
    <n v="10904"/>
    <x v="13"/>
    <n v="739"/>
    <n v="1024"/>
    <n v="0.72"/>
    <x v="5"/>
    <x v="0"/>
  </r>
  <r>
    <n v="14"/>
    <n v="11799"/>
    <x v="4"/>
    <n v="1057"/>
    <n v="1484"/>
    <n v="0.71"/>
    <x v="5"/>
    <x v="0"/>
  </r>
  <r>
    <n v="15"/>
    <n v="246"/>
    <x v="17"/>
    <n v="1909"/>
    <n v="2782"/>
    <n v="0.69"/>
    <x v="5"/>
    <x v="0"/>
  </r>
  <r>
    <n v="16"/>
    <n v="241"/>
    <x v="16"/>
    <n v="1494"/>
    <n v="2285"/>
    <n v="0.65"/>
    <x v="5"/>
    <x v="0"/>
  </r>
  <r>
    <n v="17"/>
    <n v="243"/>
    <x v="2"/>
    <n v="1958"/>
    <n v="3223"/>
    <n v="0.61"/>
    <x v="5"/>
    <x v="0"/>
  </r>
  <r>
    <n v="18"/>
    <n v="242"/>
    <x v="12"/>
    <n v="1440"/>
    <n v="2713"/>
    <n v="0.53"/>
    <x v="5"/>
    <x v="0"/>
  </r>
  <r>
    <n v="19"/>
    <n v="239"/>
    <x v="19"/>
    <n v="1587"/>
    <n v="3365"/>
    <n v="0.47"/>
    <x v="5"/>
    <x v="0"/>
  </r>
  <r>
    <n v="20"/>
    <n v="235"/>
    <x v="14"/>
    <n v="528"/>
    <n v="2805"/>
    <n v="0.19"/>
    <x v="5"/>
    <x v="0"/>
  </r>
  <r>
    <n v="21"/>
    <n v="237"/>
    <x v="15"/>
    <n v="284"/>
    <n v="1670"/>
    <n v="0.17"/>
    <x v="5"/>
    <x v="0"/>
  </r>
  <r>
    <n v="1"/>
    <n v="236"/>
    <x v="20"/>
    <n v="2284"/>
    <n v="2329"/>
    <n v="0.98"/>
    <x v="6"/>
    <x v="0"/>
  </r>
  <r>
    <n v="2"/>
    <n v="11117"/>
    <x v="1"/>
    <n v="7600"/>
    <n v="7816"/>
    <n v="0.97"/>
    <x v="6"/>
    <x v="0"/>
  </r>
  <r>
    <n v="3"/>
    <n v="10951"/>
    <x v="9"/>
    <n v="1106"/>
    <n v="1161"/>
    <n v="0.95"/>
    <x v="6"/>
    <x v="0"/>
  </r>
  <r>
    <n v="4"/>
    <n v="1557"/>
    <x v="5"/>
    <n v="1068"/>
    <n v="1176"/>
    <n v="0.91"/>
    <x v="6"/>
    <x v="0"/>
  </r>
  <r>
    <n v="5"/>
    <n v="11931"/>
    <x v="0"/>
    <n v="1722"/>
    <n v="1891"/>
    <n v="0.91"/>
    <x v="6"/>
    <x v="0"/>
  </r>
  <r>
    <n v="6"/>
    <n v="11882"/>
    <x v="6"/>
    <n v="773"/>
    <n v="861"/>
    <n v="0.9"/>
    <x v="6"/>
    <x v="0"/>
  </r>
  <r>
    <n v="7"/>
    <n v="234"/>
    <x v="11"/>
    <n v="2921"/>
    <n v="3384"/>
    <n v="0.86"/>
    <x v="6"/>
    <x v="0"/>
  </r>
  <r>
    <n v="8"/>
    <n v="11116"/>
    <x v="10"/>
    <n v="6464"/>
    <n v="7614"/>
    <n v="0.85"/>
    <x v="6"/>
    <x v="0"/>
  </r>
  <r>
    <n v="9"/>
    <n v="238"/>
    <x v="7"/>
    <n v="923"/>
    <n v="1098"/>
    <n v="0.84"/>
    <x v="6"/>
    <x v="0"/>
  </r>
  <r>
    <n v="10"/>
    <n v="233"/>
    <x v="3"/>
    <n v="4188"/>
    <n v="5192"/>
    <n v="0.81"/>
    <x v="6"/>
    <x v="0"/>
  </r>
  <r>
    <n v="11"/>
    <n v="11799"/>
    <x v="4"/>
    <n v="766"/>
    <n v="982"/>
    <n v="0.78"/>
    <x v="6"/>
    <x v="0"/>
  </r>
  <r>
    <n v="12"/>
    <n v="241"/>
    <x v="16"/>
    <n v="1076"/>
    <n v="1607"/>
    <n v="0.67"/>
    <x v="6"/>
    <x v="0"/>
  </r>
  <r>
    <n v="13"/>
    <n v="28745"/>
    <x v="8"/>
    <n v="190"/>
    <n v="286"/>
    <n v="0.66"/>
    <x v="6"/>
    <x v="0"/>
  </r>
  <r>
    <n v="14"/>
    <n v="240"/>
    <x v="18"/>
    <n v="1159"/>
    <n v="1851"/>
    <n v="0.63"/>
    <x v="6"/>
    <x v="0"/>
  </r>
  <r>
    <n v="15"/>
    <n v="10904"/>
    <x v="13"/>
    <n v="706"/>
    <n v="1163"/>
    <n v="0.61"/>
    <x v="6"/>
    <x v="0"/>
  </r>
  <r>
    <n v="16"/>
    <n v="242"/>
    <x v="12"/>
    <n v="1623"/>
    <n v="2666"/>
    <n v="0.61"/>
    <x v="6"/>
    <x v="0"/>
  </r>
  <r>
    <n v="17"/>
    <n v="246"/>
    <x v="17"/>
    <n v="1343"/>
    <n v="2193"/>
    <n v="0.61"/>
    <x v="6"/>
    <x v="0"/>
  </r>
  <r>
    <n v="18"/>
    <n v="243"/>
    <x v="2"/>
    <n v="1309"/>
    <n v="2538"/>
    <n v="0.52"/>
    <x v="6"/>
    <x v="0"/>
  </r>
  <r>
    <n v="19"/>
    <n v="235"/>
    <x v="14"/>
    <n v="945"/>
    <n v="1934"/>
    <n v="0.49"/>
    <x v="6"/>
    <x v="0"/>
  </r>
  <r>
    <n v="20"/>
    <n v="239"/>
    <x v="19"/>
    <n v="1601"/>
    <n v="3410"/>
    <n v="0.47"/>
    <x v="6"/>
    <x v="0"/>
  </r>
  <r>
    <n v="21"/>
    <n v="237"/>
    <x v="15"/>
    <n v="522"/>
    <n v="3839"/>
    <n v="0.14000000000000001"/>
    <x v="6"/>
    <x v="0"/>
  </r>
  <r>
    <n v="1"/>
    <n v="236"/>
    <x v="20"/>
    <n v="3069"/>
    <n v="3101"/>
    <n v="0.99"/>
    <x v="7"/>
    <x v="0"/>
  </r>
  <r>
    <n v="2"/>
    <n v="11117"/>
    <x v="1"/>
    <n v="8222"/>
    <n v="8381"/>
    <n v="0.98"/>
    <x v="7"/>
    <x v="0"/>
  </r>
  <r>
    <n v="3"/>
    <n v="11882"/>
    <x v="6"/>
    <n v="777"/>
    <n v="841"/>
    <n v="0.92"/>
    <x v="7"/>
    <x v="0"/>
  </r>
  <r>
    <n v="4"/>
    <n v="10951"/>
    <x v="9"/>
    <n v="1519"/>
    <n v="1712"/>
    <n v="0.89"/>
    <x v="7"/>
    <x v="0"/>
  </r>
  <r>
    <n v="5"/>
    <n v="11116"/>
    <x v="10"/>
    <n v="6799"/>
    <n v="7626"/>
    <n v="0.89"/>
    <x v="7"/>
    <x v="0"/>
  </r>
  <r>
    <n v="6"/>
    <n v="11931"/>
    <x v="0"/>
    <n v="1694"/>
    <n v="1923"/>
    <n v="0.88"/>
    <x v="7"/>
    <x v="0"/>
  </r>
  <r>
    <n v="7"/>
    <n v="234"/>
    <x v="11"/>
    <n v="3323"/>
    <n v="3814"/>
    <n v="0.87"/>
    <x v="7"/>
    <x v="0"/>
  </r>
  <r>
    <n v="8"/>
    <n v="240"/>
    <x v="18"/>
    <n v="2303"/>
    <n v="2741"/>
    <n v="0.84"/>
    <x v="7"/>
    <x v="0"/>
  </r>
  <r>
    <n v="9"/>
    <n v="11799"/>
    <x v="4"/>
    <n v="985"/>
    <n v="1233"/>
    <n v="0.8"/>
    <x v="7"/>
    <x v="0"/>
  </r>
  <r>
    <n v="10"/>
    <n v="1557"/>
    <x v="5"/>
    <n v="940"/>
    <n v="1188"/>
    <n v="0.79"/>
    <x v="7"/>
    <x v="0"/>
  </r>
  <r>
    <n v="11"/>
    <n v="238"/>
    <x v="7"/>
    <n v="1195"/>
    <n v="1589"/>
    <n v="0.75"/>
    <x v="7"/>
    <x v="0"/>
  </r>
  <r>
    <n v="12"/>
    <n v="10904"/>
    <x v="13"/>
    <n v="1129"/>
    <n v="1681"/>
    <n v="0.67"/>
    <x v="7"/>
    <x v="0"/>
  </r>
  <r>
    <n v="13"/>
    <n v="28745"/>
    <x v="8"/>
    <n v="74"/>
    <n v="112"/>
    <n v="0.66"/>
    <x v="7"/>
    <x v="0"/>
  </r>
  <r>
    <n v="14"/>
    <n v="233"/>
    <x v="3"/>
    <n v="4388"/>
    <n v="6761"/>
    <n v="0.65"/>
    <x v="7"/>
    <x v="0"/>
  </r>
  <r>
    <n v="15"/>
    <n v="241"/>
    <x v="16"/>
    <n v="1118"/>
    <n v="1743"/>
    <n v="0.64"/>
    <x v="7"/>
    <x v="0"/>
  </r>
  <r>
    <n v="16"/>
    <n v="242"/>
    <x v="12"/>
    <n v="2359"/>
    <n v="3810"/>
    <n v="0.62"/>
    <x v="7"/>
    <x v="0"/>
  </r>
  <r>
    <n v="17"/>
    <n v="235"/>
    <x v="14"/>
    <n v="1255"/>
    <n v="2184"/>
    <n v="0.56999999999999995"/>
    <x v="7"/>
    <x v="0"/>
  </r>
  <r>
    <n v="18"/>
    <n v="243"/>
    <x v="2"/>
    <n v="1744"/>
    <n v="3280"/>
    <n v="0.53"/>
    <x v="7"/>
    <x v="0"/>
  </r>
  <r>
    <n v="19"/>
    <n v="246"/>
    <x v="17"/>
    <n v="1556"/>
    <n v="3012"/>
    <n v="0.52"/>
    <x v="7"/>
    <x v="0"/>
  </r>
  <r>
    <n v="20"/>
    <n v="239"/>
    <x v="19"/>
    <n v="1673"/>
    <n v="3619"/>
    <n v="0.46"/>
    <x v="7"/>
    <x v="0"/>
  </r>
  <r>
    <n v="21"/>
    <n v="237"/>
    <x v="15"/>
    <n v="797"/>
    <n v="4195"/>
    <n v="0.19"/>
    <x v="7"/>
    <x v="0"/>
  </r>
  <r>
    <n v="1"/>
    <n v="236"/>
    <x v="20"/>
    <n v="2690"/>
    <n v="2717"/>
    <n v="0.99"/>
    <x v="8"/>
    <x v="0"/>
  </r>
  <r>
    <n v="2"/>
    <n v="11117"/>
    <x v="1"/>
    <n v="7493"/>
    <n v="7810"/>
    <n v="0.96"/>
    <x v="8"/>
    <x v="0"/>
  </r>
  <r>
    <n v="3"/>
    <n v="11799"/>
    <x v="4"/>
    <n v="977"/>
    <n v="1078"/>
    <n v="0.91"/>
    <x v="8"/>
    <x v="0"/>
  </r>
  <r>
    <n v="4"/>
    <n v="240"/>
    <x v="18"/>
    <n v="2007"/>
    <n v="2260"/>
    <n v="0.89"/>
    <x v="8"/>
    <x v="0"/>
  </r>
  <r>
    <n v="5"/>
    <n v="242"/>
    <x v="12"/>
    <n v="2931"/>
    <n v="3309"/>
    <n v="0.89"/>
    <x v="8"/>
    <x v="0"/>
  </r>
  <r>
    <n v="6"/>
    <n v="234"/>
    <x v="11"/>
    <n v="3215"/>
    <n v="3633"/>
    <n v="0.88"/>
    <x v="8"/>
    <x v="0"/>
  </r>
  <r>
    <n v="7"/>
    <n v="11931"/>
    <x v="0"/>
    <n v="1670"/>
    <n v="1926"/>
    <n v="0.87"/>
    <x v="8"/>
    <x v="0"/>
  </r>
  <r>
    <n v="8"/>
    <n v="11116"/>
    <x v="10"/>
    <n v="6904"/>
    <n v="7991"/>
    <n v="0.86"/>
    <x v="8"/>
    <x v="0"/>
  </r>
  <r>
    <n v="9"/>
    <n v="11882"/>
    <x v="6"/>
    <n v="866"/>
    <n v="1004"/>
    <n v="0.86"/>
    <x v="8"/>
    <x v="0"/>
  </r>
  <r>
    <n v="10"/>
    <n v="10951"/>
    <x v="9"/>
    <n v="1183"/>
    <n v="1442"/>
    <n v="0.82"/>
    <x v="8"/>
    <x v="0"/>
  </r>
  <r>
    <n v="11"/>
    <n v="1557"/>
    <x v="5"/>
    <n v="923"/>
    <n v="1121"/>
    <n v="0.82"/>
    <x v="8"/>
    <x v="0"/>
  </r>
  <r>
    <n v="12"/>
    <n v="246"/>
    <x v="17"/>
    <n v="1151"/>
    <n v="1471"/>
    <n v="0.78"/>
    <x v="8"/>
    <x v="0"/>
  </r>
  <r>
    <n v="13"/>
    <n v="233"/>
    <x v="3"/>
    <n v="4744"/>
    <n v="6182"/>
    <n v="0.77"/>
    <x v="8"/>
    <x v="0"/>
  </r>
  <r>
    <n v="14"/>
    <n v="241"/>
    <x v="16"/>
    <n v="1750"/>
    <n v="2297"/>
    <n v="0.76"/>
    <x v="8"/>
    <x v="0"/>
  </r>
  <r>
    <n v="15"/>
    <n v="28745"/>
    <x v="8"/>
    <n v="103"/>
    <n v="136"/>
    <n v="0.76"/>
    <x v="8"/>
    <x v="0"/>
  </r>
  <r>
    <n v="16"/>
    <n v="239"/>
    <x v="19"/>
    <n v="2187"/>
    <n v="2953"/>
    <n v="0.74"/>
    <x v="8"/>
    <x v="0"/>
  </r>
  <r>
    <n v="17"/>
    <n v="10904"/>
    <x v="13"/>
    <n v="792"/>
    <n v="1099"/>
    <n v="0.72"/>
    <x v="8"/>
    <x v="0"/>
  </r>
  <r>
    <n v="18"/>
    <n v="243"/>
    <x v="2"/>
    <n v="1629"/>
    <n v="2288"/>
    <n v="0.71"/>
    <x v="8"/>
    <x v="0"/>
  </r>
  <r>
    <n v="19"/>
    <n v="238"/>
    <x v="7"/>
    <n v="1203"/>
    <n v="1759"/>
    <n v="0.68"/>
    <x v="8"/>
    <x v="0"/>
  </r>
  <r>
    <n v="20"/>
    <n v="237"/>
    <x v="15"/>
    <n v="2919"/>
    <n v="5940"/>
    <n v="0.49"/>
    <x v="8"/>
    <x v="0"/>
  </r>
  <r>
    <n v="21"/>
    <n v="235"/>
    <x v="14"/>
    <n v="997"/>
    <n v="2326"/>
    <n v="0.43"/>
    <x v="8"/>
    <x v="0"/>
  </r>
  <r>
    <n v="1"/>
    <n v="236"/>
    <x v="20"/>
    <n v="2192"/>
    <n v="2196"/>
    <n v="0.99817850637522765"/>
    <x v="9"/>
    <x v="0"/>
  </r>
  <r>
    <n v="2"/>
    <n v="11117"/>
    <x v="1"/>
    <n v="8247"/>
    <n v="8477"/>
    <n v="0.97286775982069129"/>
    <x v="9"/>
    <x v="0"/>
  </r>
  <r>
    <n v="3"/>
    <n v="242"/>
    <x v="12"/>
    <n v="2885"/>
    <n v="2967"/>
    <n v="0.97236265588136161"/>
    <x v="9"/>
    <x v="0"/>
  </r>
  <r>
    <n v="4"/>
    <n v="10951"/>
    <x v="9"/>
    <n v="1133"/>
    <n v="1195"/>
    <n v="0.94811715481171543"/>
    <x v="9"/>
    <x v="0"/>
  </r>
  <r>
    <n v="5"/>
    <n v="11799"/>
    <x v="4"/>
    <n v="1379"/>
    <n v="1465"/>
    <n v="0.941296928327645"/>
    <x v="9"/>
    <x v="0"/>
  </r>
  <r>
    <n v="6"/>
    <n v="234"/>
    <x v="11"/>
    <n v="2793"/>
    <n v="3057"/>
    <n v="0.91364082433758587"/>
    <x v="9"/>
    <x v="0"/>
  </r>
  <r>
    <n v="7"/>
    <n v="11931"/>
    <x v="0"/>
    <n v="1485"/>
    <n v="1668"/>
    <n v="0.89028776978417268"/>
    <x v="9"/>
    <x v="0"/>
  </r>
  <r>
    <n v="8"/>
    <n v="11882"/>
    <x v="6"/>
    <n v="814"/>
    <n v="927"/>
    <n v="0.87810140237324708"/>
    <x v="9"/>
    <x v="0"/>
  </r>
  <r>
    <n v="9"/>
    <n v="1557"/>
    <x v="5"/>
    <n v="942"/>
    <n v="1073"/>
    <n v="0.87791239515377451"/>
    <x v="9"/>
    <x v="0"/>
  </r>
  <r>
    <n v="10"/>
    <n v="11116"/>
    <x v="10"/>
    <n v="5865"/>
    <n v="6747"/>
    <n v="0.86927523343708313"/>
    <x v="9"/>
    <x v="0"/>
  </r>
  <r>
    <n v="11"/>
    <n v="237"/>
    <x v="15"/>
    <n v="3209"/>
    <n v="3934"/>
    <n v="0.81570920183019824"/>
    <x v="9"/>
    <x v="0"/>
  </r>
  <r>
    <n v="12"/>
    <n v="233"/>
    <x v="3"/>
    <n v="4781"/>
    <n v="6026"/>
    <n v="0.79339528708927975"/>
    <x v="9"/>
    <x v="0"/>
  </r>
  <r>
    <n v="13"/>
    <n v="240"/>
    <x v="18"/>
    <n v="1646"/>
    <n v="2258"/>
    <n v="0.72896368467670503"/>
    <x v="9"/>
    <x v="0"/>
  </r>
  <r>
    <n v="14"/>
    <n v="241"/>
    <x v="16"/>
    <n v="1936"/>
    <n v="2825"/>
    <n v="0.68530973451327437"/>
    <x v="9"/>
    <x v="0"/>
  </r>
  <r>
    <n v="15"/>
    <n v="238"/>
    <x v="7"/>
    <n v="380"/>
    <n v="580"/>
    <n v="0.65517241379310343"/>
    <x v="9"/>
    <x v="0"/>
  </r>
  <r>
    <n v="16"/>
    <n v="243"/>
    <x v="2"/>
    <n v="2036"/>
    <n v="3171"/>
    <n v="0.64206874802901293"/>
    <x v="9"/>
    <x v="0"/>
  </r>
  <r>
    <n v="17"/>
    <n v="28745"/>
    <x v="8"/>
    <n v="227"/>
    <n v="370"/>
    <n v="0.61351351351351346"/>
    <x v="9"/>
    <x v="0"/>
  </r>
  <r>
    <n v="18"/>
    <n v="239"/>
    <x v="19"/>
    <n v="1633"/>
    <n v="2833"/>
    <n v="0.57642075538298621"/>
    <x v="9"/>
    <x v="0"/>
  </r>
  <r>
    <n v="19"/>
    <n v="10904"/>
    <x v="13"/>
    <n v="1128"/>
    <n v="2026"/>
    <n v="0.55676209279368216"/>
    <x v="9"/>
    <x v="0"/>
  </r>
  <r>
    <n v="20"/>
    <n v="235"/>
    <x v="14"/>
    <n v="903"/>
    <n v="1798"/>
    <n v="0.50222469410456061"/>
    <x v="9"/>
    <x v="0"/>
  </r>
  <r>
    <n v="21"/>
    <n v="246"/>
    <x v="17"/>
    <n v="1753"/>
    <n v="3599"/>
    <n v="0.48707974437343704"/>
    <x v="9"/>
    <x v="0"/>
  </r>
  <r>
    <n v="1"/>
    <n v="1557"/>
    <x v="5"/>
    <n v="1303"/>
    <n v="1322"/>
    <n v="0.98562783661119513"/>
    <x v="10"/>
    <x v="0"/>
  </r>
  <r>
    <n v="2"/>
    <n v="28745"/>
    <x v="8"/>
    <n v="426"/>
    <n v="432"/>
    <n v="0.98611111111111116"/>
    <x v="10"/>
    <x v="0"/>
  </r>
  <r>
    <n v="3"/>
    <n v="11117"/>
    <x v="1"/>
    <n v="7608"/>
    <n v="7894"/>
    <n v="0.96376995186217385"/>
    <x v="10"/>
    <x v="0"/>
  </r>
  <r>
    <n v="4"/>
    <n v="11799"/>
    <x v="4"/>
    <n v="1161"/>
    <n v="1209"/>
    <n v="0.96029776674937961"/>
    <x v="10"/>
    <x v="0"/>
  </r>
  <r>
    <n v="5"/>
    <n v="242"/>
    <x v="12"/>
    <n v="3655"/>
    <n v="3850"/>
    <n v="0.94935064935064939"/>
    <x v="10"/>
    <x v="0"/>
  </r>
  <r>
    <n v="6"/>
    <n v="11116"/>
    <x v="10"/>
    <n v="7107"/>
    <n v="7596"/>
    <n v="0.9356240126382307"/>
    <x v="10"/>
    <x v="0"/>
  </r>
  <r>
    <n v="7"/>
    <n v="236"/>
    <x v="20"/>
    <n v="1661"/>
    <n v="1771"/>
    <n v="0.93788819875776397"/>
    <x v="10"/>
    <x v="0"/>
  </r>
  <r>
    <n v="8"/>
    <n v="246"/>
    <x v="17"/>
    <n v="1856"/>
    <n v="1980"/>
    <n v="0.93737373737373741"/>
    <x v="10"/>
    <x v="0"/>
  </r>
  <r>
    <n v="9"/>
    <n v="234"/>
    <x v="11"/>
    <n v="3136"/>
    <n v="3411"/>
    <n v="0.91937848138375844"/>
    <x v="10"/>
    <x v="0"/>
  </r>
  <r>
    <n v="10"/>
    <n v="240"/>
    <x v="18"/>
    <n v="2156"/>
    <n v="2347"/>
    <n v="0.91861951427354072"/>
    <x v="10"/>
    <x v="0"/>
  </r>
  <r>
    <n v="11"/>
    <n v="10904"/>
    <x v="13"/>
    <n v="1169"/>
    <n v="1336"/>
    <n v="0.875"/>
    <x v="10"/>
    <x v="0"/>
  </r>
  <r>
    <n v="12"/>
    <n v="237"/>
    <x v="15"/>
    <n v="3016"/>
    <n v="3409"/>
    <n v="0.88471692578468764"/>
    <x v="10"/>
    <x v="0"/>
  </r>
  <r>
    <n v="13"/>
    <n v="233"/>
    <x v="3"/>
    <n v="6313"/>
    <n v="7410"/>
    <n v="0.85195681511470989"/>
    <x v="10"/>
    <x v="0"/>
  </r>
  <r>
    <n v="14"/>
    <n v="10951"/>
    <x v="9"/>
    <n v="1316"/>
    <n v="1569"/>
    <n v="0.83875079668578711"/>
    <x v="10"/>
    <x v="0"/>
  </r>
  <r>
    <n v="15"/>
    <n v="11882"/>
    <x v="6"/>
    <n v="705"/>
    <n v="836"/>
    <n v="0.84330143540669855"/>
    <x v="10"/>
    <x v="0"/>
  </r>
  <r>
    <n v="16"/>
    <n v="241"/>
    <x v="16"/>
    <n v="1226"/>
    <n v="1621"/>
    <n v="0.75632325724861194"/>
    <x v="10"/>
    <x v="0"/>
  </r>
  <r>
    <n v="17"/>
    <n v="239"/>
    <x v="19"/>
    <n v="2458"/>
    <n v="3621"/>
    <n v="0.67881800607566967"/>
    <x v="10"/>
    <x v="0"/>
  </r>
  <r>
    <n v="18"/>
    <n v="11931"/>
    <x v="0"/>
    <n v="2433"/>
    <n v="3892"/>
    <n v="0.62512846865364846"/>
    <x v="10"/>
    <x v="0"/>
  </r>
  <r>
    <n v="19"/>
    <n v="243"/>
    <x v="2"/>
    <n v="1402"/>
    <n v="2463"/>
    <n v="0.56922452293950465"/>
    <x v="10"/>
    <x v="0"/>
  </r>
  <r>
    <n v="20"/>
    <n v="235"/>
    <x v="14"/>
    <n v="1403"/>
    <n v="5611"/>
    <n v="0.25004455533772946"/>
    <x v="10"/>
    <x v="0"/>
  </r>
  <r>
    <n v="21"/>
    <n v="238"/>
    <x v="7"/>
    <n v="320"/>
    <n v="2095"/>
    <n v="0.15274463007159905"/>
    <x v="10"/>
    <x v="0"/>
  </r>
  <r>
    <n v="1"/>
    <n v="1557"/>
    <x v="5"/>
    <n v="1056"/>
    <n v="1067"/>
    <n v="0.98969072164948457"/>
    <x v="11"/>
    <x v="0"/>
  </r>
  <r>
    <n v="2"/>
    <n v="242"/>
    <x v="12"/>
    <n v="3029"/>
    <n v="3066"/>
    <n v="0.98793215916503585"/>
    <x v="11"/>
    <x v="0"/>
  </r>
  <r>
    <n v="3"/>
    <n v="28745"/>
    <x v="8"/>
    <n v="467"/>
    <n v="471"/>
    <n v="0.99150743099787686"/>
    <x v="11"/>
    <x v="0"/>
  </r>
  <r>
    <n v="4"/>
    <n v="11117"/>
    <x v="1"/>
    <n v="6520"/>
    <n v="6764"/>
    <n v="0.96392667060910708"/>
    <x v="11"/>
    <x v="0"/>
  </r>
  <r>
    <n v="5"/>
    <n v="234"/>
    <x v="11"/>
    <n v="3328"/>
    <n v="3627"/>
    <n v="0.91756272401433692"/>
    <x v="11"/>
    <x v="0"/>
  </r>
  <r>
    <n v="6"/>
    <n v="11799"/>
    <x v="4"/>
    <n v="886"/>
    <n v="981"/>
    <n v="0.90316004077471967"/>
    <x v="11"/>
    <x v="0"/>
  </r>
  <r>
    <n v="7"/>
    <n v="11931"/>
    <x v="21"/>
    <n v="1617"/>
    <n v="1806"/>
    <n v="0.89534883720930236"/>
    <x v="11"/>
    <x v="0"/>
  </r>
  <r>
    <n v="8"/>
    <n v="10904"/>
    <x v="13"/>
    <n v="1452"/>
    <n v="1651"/>
    <n v="0.87946698970321013"/>
    <x v="11"/>
    <x v="0"/>
  </r>
  <r>
    <n v="9"/>
    <n v="11882"/>
    <x v="6"/>
    <n v="845"/>
    <n v="956"/>
    <n v="0.88389121338912136"/>
    <x v="11"/>
    <x v="0"/>
  </r>
  <r>
    <n v="10"/>
    <n v="10951"/>
    <x v="9"/>
    <n v="1213"/>
    <n v="1389"/>
    <n v="0.87329013678905687"/>
    <x v="11"/>
    <x v="0"/>
  </r>
  <r>
    <n v="11"/>
    <n v="239"/>
    <x v="19"/>
    <n v="2491"/>
    <n v="2879"/>
    <n v="0.86523098298020151"/>
    <x v="11"/>
    <x v="0"/>
  </r>
  <r>
    <n v="12"/>
    <n v="246"/>
    <x v="17"/>
    <n v="2793"/>
    <n v="3245"/>
    <n v="0.86070878274268103"/>
    <x v="11"/>
    <x v="0"/>
  </r>
  <r>
    <n v="13"/>
    <n v="11116"/>
    <x v="10"/>
    <n v="5539"/>
    <n v="6485"/>
    <n v="0.85412490362374716"/>
    <x v="11"/>
    <x v="0"/>
  </r>
  <r>
    <n v="14"/>
    <n v="241"/>
    <x v="16"/>
    <n v="1834"/>
    <n v="2195"/>
    <n v="0.83553530751708427"/>
    <x v="11"/>
    <x v="0"/>
  </r>
  <r>
    <n v="15"/>
    <n v="240"/>
    <x v="18"/>
    <n v="1882"/>
    <n v="2373"/>
    <n v="0.79308891698272233"/>
    <x v="11"/>
    <x v="0"/>
  </r>
  <r>
    <n v="16"/>
    <n v="233"/>
    <x v="3"/>
    <n v="4423"/>
    <n v="5834"/>
    <n v="0.75814192663695579"/>
    <x v="11"/>
    <x v="0"/>
  </r>
  <r>
    <n v="17"/>
    <n v="237"/>
    <x v="15"/>
    <n v="2047"/>
    <n v="2680"/>
    <n v="0.76380597014925378"/>
    <x v="11"/>
    <x v="0"/>
  </r>
  <r>
    <n v="18"/>
    <n v="236"/>
    <x v="20"/>
    <n v="2159"/>
    <n v="3358"/>
    <n v="0.64294222751637875"/>
    <x v="11"/>
    <x v="0"/>
  </r>
  <r>
    <n v="19"/>
    <n v="235"/>
    <x v="14"/>
    <n v="2185"/>
    <n v="3891"/>
    <n v="0.56155230017990232"/>
    <x v="11"/>
    <x v="0"/>
  </r>
  <r>
    <n v="20"/>
    <n v="238"/>
    <x v="7"/>
    <n v="262"/>
    <n v="935"/>
    <n v="0.28021390374331551"/>
    <x v="11"/>
    <x v="0"/>
  </r>
  <r>
    <n v="21"/>
    <n v="243"/>
    <x v="2"/>
    <n v="244"/>
    <n v="2561"/>
    <n v="9.5275283092541976E-2"/>
    <x v="11"/>
    <x v="0"/>
  </r>
  <r>
    <n v="1"/>
    <n v="11882"/>
    <x v="6"/>
    <n v="244"/>
    <n v="245"/>
    <n v="0.99591836734693873"/>
    <x v="0"/>
    <x v="1"/>
  </r>
  <r>
    <n v="2"/>
    <n v="242"/>
    <x v="12"/>
    <n v="886"/>
    <n v="889"/>
    <n v="0.99662542182227221"/>
    <x v="0"/>
    <x v="1"/>
  </r>
  <r>
    <n v="3"/>
    <n v="28745"/>
    <x v="8"/>
    <n v="132"/>
    <n v="132"/>
    <n v="1"/>
    <x v="0"/>
    <x v="1"/>
  </r>
  <r>
    <n v="4"/>
    <n v="234"/>
    <x v="11"/>
    <n v="1093"/>
    <n v="1103"/>
    <n v="0.99093381686310067"/>
    <x v="0"/>
    <x v="1"/>
  </r>
  <r>
    <n v="5"/>
    <n v="236"/>
    <x v="20"/>
    <n v="1060"/>
    <n v="1072"/>
    <n v="0.98880597014925375"/>
    <x v="0"/>
    <x v="1"/>
  </r>
  <r>
    <n v="6"/>
    <n v="246"/>
    <x v="17"/>
    <n v="889"/>
    <n v="897"/>
    <n v="0.99108138238573018"/>
    <x v="0"/>
    <x v="1"/>
  </r>
  <r>
    <n v="7"/>
    <n v="10904"/>
    <x v="13"/>
    <n v="326"/>
    <n v="331"/>
    <n v="0.98489425981873113"/>
    <x v="0"/>
    <x v="1"/>
  </r>
  <r>
    <n v="8"/>
    <n v="11117"/>
    <x v="1"/>
    <n v="2816"/>
    <n v="2998"/>
    <n v="0.93929286190793859"/>
    <x v="0"/>
    <x v="1"/>
  </r>
  <r>
    <n v="9"/>
    <n v="11799"/>
    <x v="4"/>
    <n v="237"/>
    <n v="255"/>
    <n v="0.92941176470588238"/>
    <x v="0"/>
    <x v="1"/>
  </r>
  <r>
    <n v="10"/>
    <n v="10951"/>
    <x v="9"/>
    <n v="513"/>
    <n v="559"/>
    <n v="0.91771019677996424"/>
    <x v="0"/>
    <x v="1"/>
  </r>
  <r>
    <n v="11"/>
    <n v="240"/>
    <x v="18"/>
    <n v="796"/>
    <n v="867"/>
    <n v="0.91810841983852365"/>
    <x v="0"/>
    <x v="1"/>
  </r>
  <r>
    <n v="12"/>
    <n v="11931"/>
    <x v="0"/>
    <n v="716"/>
    <n v="781"/>
    <n v="0.91677336747759286"/>
    <x v="0"/>
    <x v="1"/>
  </r>
  <r>
    <n v="13"/>
    <n v="1557"/>
    <x v="5"/>
    <n v="358"/>
    <n v="400"/>
    <n v="0.89500000000000002"/>
    <x v="0"/>
    <x v="1"/>
  </r>
  <r>
    <n v="14"/>
    <n v="11116"/>
    <x v="10"/>
    <n v="2725"/>
    <n v="3152"/>
    <n v="0.86453045685279184"/>
    <x v="0"/>
    <x v="1"/>
  </r>
  <r>
    <n v="15"/>
    <n v="233"/>
    <x v="3"/>
    <n v="2839"/>
    <n v="3377"/>
    <n v="0.84068700029612087"/>
    <x v="0"/>
    <x v="1"/>
  </r>
  <r>
    <n v="16"/>
    <n v="241"/>
    <x v="16"/>
    <n v="537"/>
    <n v="642"/>
    <n v="0.83644859813084116"/>
    <x v="0"/>
    <x v="1"/>
  </r>
  <r>
    <n v="17"/>
    <n v="237"/>
    <x v="15"/>
    <n v="1240"/>
    <n v="1619"/>
    <n v="0.76590487955528108"/>
    <x v="0"/>
    <x v="1"/>
  </r>
  <r>
    <n v="18"/>
    <n v="235"/>
    <x v="14"/>
    <n v="893"/>
    <n v="1831"/>
    <n v="0.48771163298743858"/>
    <x v="0"/>
    <x v="1"/>
  </r>
  <r>
    <n v="19"/>
    <n v="239"/>
    <x v="19"/>
    <n v="220"/>
    <n v="815"/>
    <n v="0.26993865030674846"/>
    <x v="0"/>
    <x v="1"/>
  </r>
  <r>
    <n v="20"/>
    <n v="243"/>
    <x v="2"/>
    <n v="188"/>
    <n v="1693"/>
    <n v="0.11104548139397519"/>
    <x v="0"/>
    <x v="1"/>
  </r>
  <r>
    <n v="21"/>
    <n v="238"/>
    <x v="7"/>
    <n v="13"/>
    <n v="885"/>
    <n v="1.4689265536723164E-2"/>
    <x v="0"/>
    <x v="1"/>
  </r>
  <r>
    <n v="1"/>
    <n v="1557"/>
    <x v="5"/>
    <n v="441"/>
    <n v="442"/>
    <n v="0.99773755656108598"/>
    <x v="1"/>
    <x v="1"/>
  </r>
  <r>
    <n v="2"/>
    <n v="242"/>
    <x v="12"/>
    <n v="1357"/>
    <n v="1363"/>
    <n v="0.99559794570799709"/>
    <x v="1"/>
    <x v="1"/>
  </r>
  <r>
    <n v="3"/>
    <n v="246"/>
    <x v="17"/>
    <n v="1487"/>
    <n v="1502"/>
    <n v="0.99001331557922767"/>
    <x v="1"/>
    <x v="1"/>
  </r>
  <r>
    <n v="4"/>
    <n v="28745"/>
    <x v="8"/>
    <n v="105"/>
    <n v="107"/>
    <n v="0.98130841121495327"/>
    <x v="1"/>
    <x v="1"/>
  </r>
  <r>
    <n v="5"/>
    <n v="11117"/>
    <x v="1"/>
    <n v="3778"/>
    <n v="3877"/>
    <n v="0.97446479236523087"/>
    <x v="1"/>
    <x v="1"/>
  </r>
  <r>
    <n v="6"/>
    <n v="234"/>
    <x v="11"/>
    <n v="1678"/>
    <n v="1738"/>
    <n v="0.96547756041426924"/>
    <x v="1"/>
    <x v="1"/>
  </r>
  <r>
    <n v="7"/>
    <n v="11882"/>
    <x v="6"/>
    <n v="298"/>
    <n v="314"/>
    <n v="0.94904458598726116"/>
    <x v="1"/>
    <x v="1"/>
  </r>
  <r>
    <n v="8"/>
    <n v="240"/>
    <x v="18"/>
    <n v="1386"/>
    <n v="1468"/>
    <n v="0.94414168937329701"/>
    <x v="1"/>
    <x v="1"/>
  </r>
  <r>
    <n v="9"/>
    <n v="11799"/>
    <x v="4"/>
    <n v="730"/>
    <n v="783"/>
    <n v="0.9323116219667944"/>
    <x v="1"/>
    <x v="1"/>
  </r>
  <r>
    <n v="10"/>
    <n v="233"/>
    <x v="3"/>
    <n v="3494"/>
    <n v="3920"/>
    <n v="0.89132653061224487"/>
    <x v="1"/>
    <x v="1"/>
  </r>
  <r>
    <n v="11"/>
    <n v="237"/>
    <x v="15"/>
    <n v="1366"/>
    <n v="1541"/>
    <n v="0.88643737832576253"/>
    <x v="1"/>
    <x v="1"/>
  </r>
  <r>
    <n v="12"/>
    <n v="11116"/>
    <x v="10"/>
    <n v="1864"/>
    <n v="2147"/>
    <n v="0.86818816953889144"/>
    <x v="1"/>
    <x v="1"/>
  </r>
  <r>
    <n v="13"/>
    <n v="11931"/>
    <x v="0"/>
    <n v="629"/>
    <n v="721"/>
    <n v="0.87239944521497914"/>
    <x v="1"/>
    <x v="1"/>
  </r>
  <r>
    <n v="14"/>
    <n v="10951"/>
    <x v="9"/>
    <n v="486"/>
    <n v="565"/>
    <n v="0.86017699115044244"/>
    <x v="1"/>
    <x v="1"/>
  </r>
  <r>
    <n v="15"/>
    <n v="239"/>
    <x v="19"/>
    <n v="1141"/>
    <n v="1338"/>
    <n v="0.85276532137518679"/>
    <x v="1"/>
    <x v="1"/>
  </r>
  <r>
    <n v="16"/>
    <n v="10904"/>
    <x v="13"/>
    <n v="668"/>
    <n v="809"/>
    <n v="0.82571075401730532"/>
    <x v="1"/>
    <x v="1"/>
  </r>
  <r>
    <n v="17"/>
    <n v="241"/>
    <x v="16"/>
    <n v="367"/>
    <n v="443"/>
    <n v="0.82844243792325056"/>
    <x v="1"/>
    <x v="1"/>
  </r>
  <r>
    <n v="18"/>
    <n v="236"/>
    <x v="20"/>
    <n v="682"/>
    <n v="939"/>
    <n v="0.72630457933972314"/>
    <x v="1"/>
    <x v="1"/>
  </r>
  <r>
    <n v="19"/>
    <n v="235"/>
    <x v="14"/>
    <n v="1624"/>
    <n v="2549"/>
    <n v="0.63711259317379365"/>
    <x v="1"/>
    <x v="1"/>
  </r>
  <r>
    <n v="20"/>
    <n v="243"/>
    <x v="2"/>
    <n v="1042"/>
    <n v="2218"/>
    <n v="0.46979260595130751"/>
    <x v="1"/>
    <x v="1"/>
  </r>
  <r>
    <n v="21"/>
    <n v="238"/>
    <x v="7"/>
    <n v="6"/>
    <n v="277"/>
    <n v="2.1660649819494584E-2"/>
    <x v="1"/>
    <x v="1"/>
  </r>
  <r>
    <n v="1"/>
    <n v="1557"/>
    <x v="5"/>
    <n v="1273"/>
    <n v="1275"/>
    <n v="0.99843137254901959"/>
    <x v="2"/>
    <x v="1"/>
  </r>
  <r>
    <n v="2"/>
    <n v="28745"/>
    <x v="8"/>
    <n v="336"/>
    <n v="336"/>
    <n v="1"/>
    <x v="2"/>
    <x v="1"/>
  </r>
  <r>
    <n v="3"/>
    <n v="246"/>
    <x v="17"/>
    <n v="2886"/>
    <n v="2918"/>
    <n v="0.98903358464701852"/>
    <x v="2"/>
    <x v="1"/>
  </r>
  <r>
    <n v="4"/>
    <n v="11117"/>
    <x v="1"/>
    <n v="8588"/>
    <n v="8750"/>
    <n v="0.98148571428571429"/>
    <x v="2"/>
    <x v="1"/>
  </r>
  <r>
    <n v="5"/>
    <n v="236"/>
    <x v="20"/>
    <n v="3310"/>
    <n v="3361"/>
    <n v="0.9848259446593276"/>
    <x v="2"/>
    <x v="1"/>
  </r>
  <r>
    <n v="6"/>
    <n v="10951"/>
    <x v="9"/>
    <n v="1736"/>
    <n v="1811"/>
    <n v="0.95858641634456099"/>
    <x v="2"/>
    <x v="1"/>
  </r>
  <r>
    <n v="7"/>
    <n v="234"/>
    <x v="11"/>
    <n v="3801"/>
    <n v="3976"/>
    <n v="0.95598591549295775"/>
    <x v="2"/>
    <x v="1"/>
  </r>
  <r>
    <n v="8"/>
    <n v="11799"/>
    <x v="4"/>
    <n v="1640"/>
    <n v="1726"/>
    <n v="0.95017381228273468"/>
    <x v="2"/>
    <x v="1"/>
  </r>
  <r>
    <n v="9"/>
    <n v="11116"/>
    <x v="10"/>
    <n v="6831"/>
    <n v="7463"/>
    <n v="0.91531555674661669"/>
    <x v="2"/>
    <x v="1"/>
  </r>
  <r>
    <n v="10"/>
    <n v="233"/>
    <x v="3"/>
    <n v="6334"/>
    <n v="6880"/>
    <n v="0.92063953488372097"/>
    <x v="2"/>
    <x v="1"/>
  </r>
  <r>
    <n v="11"/>
    <n v="239"/>
    <x v="19"/>
    <n v="3929"/>
    <n v="4309"/>
    <n v="0.91181248549547456"/>
    <x v="2"/>
    <x v="1"/>
  </r>
  <r>
    <n v="12"/>
    <n v="11931"/>
    <x v="0"/>
    <n v="1775"/>
    <n v="1971"/>
    <n v="0.90055809233891426"/>
    <x v="2"/>
    <x v="1"/>
  </r>
  <r>
    <n v="13"/>
    <n v="11882"/>
    <x v="6"/>
    <n v="1365"/>
    <n v="1536"/>
    <n v="0.888671875"/>
    <x v="2"/>
    <x v="1"/>
  </r>
  <r>
    <n v="14"/>
    <n v="241"/>
    <x v="16"/>
    <n v="2240"/>
    <n v="2513"/>
    <n v="0.89136490250696376"/>
    <x v="2"/>
    <x v="1"/>
  </r>
  <r>
    <n v="15"/>
    <n v="10904"/>
    <x v="13"/>
    <n v="1415"/>
    <n v="1604"/>
    <n v="0.88216957605985036"/>
    <x v="2"/>
    <x v="1"/>
  </r>
  <r>
    <n v="16"/>
    <n v="243"/>
    <x v="2"/>
    <n v="2661"/>
    <n v="3142"/>
    <n v="0.84691279439847234"/>
    <x v="2"/>
    <x v="1"/>
  </r>
  <r>
    <n v="17"/>
    <n v="242"/>
    <x v="12"/>
    <n v="3501"/>
    <n v="4211"/>
    <n v="0.83139396817857991"/>
    <x v="2"/>
    <x v="1"/>
  </r>
  <r>
    <n v="18"/>
    <n v="235"/>
    <x v="14"/>
    <n v="3243"/>
    <n v="4265"/>
    <n v="0.76037514654161786"/>
    <x v="2"/>
    <x v="1"/>
  </r>
  <r>
    <n v="19"/>
    <n v="237"/>
    <x v="15"/>
    <n v="3196"/>
    <n v="4618"/>
    <n v="0.69207449112169772"/>
    <x v="2"/>
    <x v="1"/>
  </r>
  <r>
    <n v="20"/>
    <n v="240"/>
    <x v="18"/>
    <n v="2208"/>
    <n v="3304"/>
    <n v="0.66828087167070216"/>
    <x v="2"/>
    <x v="1"/>
  </r>
  <r>
    <n v="21"/>
    <n v="238"/>
    <x v="7"/>
    <n v="1721"/>
    <n v="2690"/>
    <n v="0.63977695167286242"/>
    <x v="2"/>
    <x v="1"/>
  </r>
  <r>
    <n v="1"/>
    <n v="1557"/>
    <x v="5"/>
    <n v="1459"/>
    <n v="1464"/>
    <n v="0.99658469945355188"/>
    <x v="3"/>
    <x v="1"/>
  </r>
  <r>
    <n v="2"/>
    <n v="28745"/>
    <x v="8"/>
    <n v="484"/>
    <n v="486"/>
    <n v="0.99588477366255146"/>
    <x v="3"/>
    <x v="1"/>
  </r>
  <r>
    <n v="3"/>
    <n v="242"/>
    <x v="12"/>
    <n v="3435"/>
    <n v="3463"/>
    <n v="0.99191452497834243"/>
    <x v="3"/>
    <x v="1"/>
  </r>
  <r>
    <n v="4"/>
    <n v="246"/>
    <x v="17"/>
    <n v="2795"/>
    <n v="2813"/>
    <n v="0.99360113757554214"/>
    <x v="3"/>
    <x v="1"/>
  </r>
  <r>
    <n v="5"/>
    <n v="11117"/>
    <x v="1"/>
    <n v="8605"/>
    <n v="8830"/>
    <n v="0.97451868629671579"/>
    <x v="3"/>
    <x v="1"/>
  </r>
  <r>
    <n v="6"/>
    <n v="234"/>
    <x v="11"/>
    <n v="3269"/>
    <n v="3391"/>
    <n v="0.96402241226776764"/>
    <x v="3"/>
    <x v="1"/>
  </r>
  <r>
    <n v="7"/>
    <n v="236"/>
    <x v="20"/>
    <n v="3746"/>
    <n v="3910"/>
    <n v="0.95805626598465476"/>
    <x v="3"/>
    <x v="1"/>
  </r>
  <r>
    <n v="8"/>
    <n v="10951"/>
    <x v="9"/>
    <n v="1404"/>
    <n v="1475"/>
    <n v="0.951864406779661"/>
    <x v="3"/>
    <x v="1"/>
  </r>
  <r>
    <n v="9"/>
    <n v="11799"/>
    <x v="4"/>
    <n v="1631"/>
    <n v="1712"/>
    <n v="0.95268691588785048"/>
    <x v="3"/>
    <x v="1"/>
  </r>
  <r>
    <n v="10"/>
    <n v="240"/>
    <x v="18"/>
    <n v="2502"/>
    <n v="2636"/>
    <n v="0.9491654021244309"/>
    <x v="3"/>
    <x v="1"/>
  </r>
  <r>
    <n v="11"/>
    <n v="11116"/>
    <x v="10"/>
    <n v="6837"/>
    <n v="7410"/>
    <n v="0.92267206477732788"/>
    <x v="3"/>
    <x v="1"/>
  </r>
  <r>
    <n v="12"/>
    <n v="241"/>
    <x v="16"/>
    <n v="2633"/>
    <n v="2856"/>
    <n v="0.92191876750700286"/>
    <x v="3"/>
    <x v="1"/>
  </r>
  <r>
    <n v="13"/>
    <n v="243"/>
    <x v="2"/>
    <n v="2951"/>
    <n v="3198"/>
    <n v="0.92276422764227639"/>
    <x v="3"/>
    <x v="1"/>
  </r>
  <r>
    <n v="14"/>
    <n v="11931"/>
    <x v="0"/>
    <n v="1696"/>
    <n v="1869"/>
    <n v="0.90743713215623323"/>
    <x v="3"/>
    <x v="1"/>
  </r>
  <r>
    <n v="15"/>
    <n v="10904"/>
    <x v="13"/>
    <n v="1055"/>
    <n v="1177"/>
    <n v="0.89634664401019537"/>
    <x v="3"/>
    <x v="1"/>
  </r>
  <r>
    <n v="16"/>
    <n v="11882"/>
    <x v="6"/>
    <n v="993"/>
    <n v="1098"/>
    <n v="0.90437158469945356"/>
    <x v="3"/>
    <x v="1"/>
  </r>
  <r>
    <n v="17"/>
    <n v="233"/>
    <x v="3"/>
    <n v="5768"/>
    <n v="6576"/>
    <n v="0.87712895377128952"/>
    <x v="3"/>
    <x v="1"/>
  </r>
  <r>
    <n v="18"/>
    <n v="238"/>
    <x v="7"/>
    <n v="1306"/>
    <n v="1483"/>
    <n v="0.88064733648010785"/>
    <x v="3"/>
    <x v="1"/>
  </r>
  <r>
    <n v="19"/>
    <n v="235"/>
    <x v="14"/>
    <n v="3427"/>
    <n v="4578"/>
    <n v="0.74858016601135868"/>
    <x v="3"/>
    <x v="1"/>
  </r>
  <r>
    <n v="20"/>
    <n v="237"/>
    <x v="15"/>
    <n v="1475"/>
    <n v="2406"/>
    <n v="0.61305070656691607"/>
    <x v="3"/>
    <x v="1"/>
  </r>
  <r>
    <n v="21"/>
    <n v="239"/>
    <x v="19"/>
    <n v="234"/>
    <n v="2010"/>
    <n v="0.11641791044776119"/>
    <x v="3"/>
    <x v="1"/>
  </r>
  <r>
    <n v="1"/>
    <n v="1557"/>
    <x v="5"/>
    <n v="812"/>
    <n v="812"/>
    <n v="1"/>
    <x v="4"/>
    <x v="1"/>
  </r>
  <r>
    <n v="2"/>
    <n v="236"/>
    <x v="20"/>
    <n v="2274"/>
    <n v="2290"/>
    <n v="0.99301310043668123"/>
    <x v="4"/>
    <x v="1"/>
  </r>
  <r>
    <n v="3"/>
    <n v="241"/>
    <x v="16"/>
    <n v="1406"/>
    <n v="1420"/>
    <n v="0.99014084507042255"/>
    <x v="4"/>
    <x v="1"/>
  </r>
  <r>
    <n v="4"/>
    <n v="242"/>
    <x v="12"/>
    <n v="2527"/>
    <n v="2543"/>
    <n v="0.99370821863940229"/>
    <x v="4"/>
    <x v="1"/>
  </r>
  <r>
    <n v="5"/>
    <n v="246"/>
    <x v="17"/>
    <n v="1456"/>
    <n v="1468"/>
    <n v="0.99182561307901906"/>
    <x v="4"/>
    <x v="1"/>
  </r>
  <r>
    <n v="6"/>
    <n v="28745"/>
    <x v="8"/>
    <n v="320"/>
    <n v="322"/>
    <n v="0.99378881987577639"/>
    <x v="4"/>
    <x v="1"/>
  </r>
  <r>
    <n v="7"/>
    <n v="10951"/>
    <x v="9"/>
    <n v="1338"/>
    <n v="1383"/>
    <n v="0.96746203904555317"/>
    <x v="4"/>
    <x v="1"/>
  </r>
  <r>
    <n v="8"/>
    <n v="11882"/>
    <x v="6"/>
    <n v="503"/>
    <n v="516"/>
    <n v="0.97480620155038755"/>
    <x v="4"/>
    <x v="1"/>
  </r>
  <r>
    <n v="9"/>
    <n v="11117"/>
    <x v="1"/>
    <n v="7170"/>
    <n v="7457"/>
    <n v="0.96151267265656426"/>
    <x v="4"/>
    <x v="1"/>
  </r>
  <r>
    <n v="10"/>
    <n v="234"/>
    <x v="11"/>
    <n v="2416"/>
    <n v="2532"/>
    <n v="0.95418641390205372"/>
    <x v="4"/>
    <x v="1"/>
  </r>
  <r>
    <n v="11"/>
    <n v="240"/>
    <x v="18"/>
    <n v="2299"/>
    <n v="2454"/>
    <n v="0.93683781581092096"/>
    <x v="4"/>
    <x v="1"/>
  </r>
  <r>
    <n v="12"/>
    <n v="11116"/>
    <x v="10"/>
    <n v="7588"/>
    <n v="8311"/>
    <n v="0.91300685838045958"/>
    <x v="4"/>
    <x v="1"/>
  </r>
  <r>
    <n v="13"/>
    <n v="238"/>
    <x v="7"/>
    <n v="1527"/>
    <n v="1685"/>
    <n v="0.90623145400593474"/>
    <x v="4"/>
    <x v="1"/>
  </r>
  <r>
    <n v="14"/>
    <n v="11931"/>
    <x v="0"/>
    <n v="1930"/>
    <n v="2176"/>
    <n v="0.88694852941176472"/>
    <x v="4"/>
    <x v="1"/>
  </r>
  <r>
    <n v="15"/>
    <n v="10904"/>
    <x v="13"/>
    <n v="999"/>
    <n v="1177"/>
    <n v="0.84876805437553104"/>
    <x v="4"/>
    <x v="1"/>
  </r>
  <r>
    <n v="16"/>
    <n v="11799"/>
    <x v="4"/>
    <n v="1013"/>
    <n v="1217"/>
    <n v="0.83237469186524238"/>
    <x v="4"/>
    <x v="1"/>
  </r>
  <r>
    <n v="17"/>
    <n v="235"/>
    <x v="14"/>
    <n v="2208"/>
    <n v="2663"/>
    <n v="0.82914006759294034"/>
    <x v="4"/>
    <x v="1"/>
  </r>
  <r>
    <n v="18"/>
    <n v="233"/>
    <x v="3"/>
    <n v="4337"/>
    <n v="5517"/>
    <n v="0.78611564255936195"/>
    <x v="4"/>
    <x v="1"/>
  </r>
  <r>
    <n v="19"/>
    <n v="243"/>
    <x v="2"/>
    <n v="1703"/>
    <n v="2390"/>
    <n v="0.71255230125523017"/>
    <x v="4"/>
    <x v="1"/>
  </r>
  <r>
    <n v="20"/>
    <n v="239"/>
    <x v="19"/>
    <n v="2000"/>
    <n v="3612"/>
    <n v="0.55370985603543743"/>
    <x v="4"/>
    <x v="1"/>
  </r>
  <r>
    <n v="21"/>
    <n v="237"/>
    <x v="15"/>
    <n v="2312"/>
    <n v="4837"/>
    <n v="0.47798222038453586"/>
    <x v="4"/>
    <x v="1"/>
  </r>
  <r>
    <n v="1"/>
    <n v="242"/>
    <x v="12"/>
    <n v="2763"/>
    <n v="2776"/>
    <n v="0.99531700288184433"/>
    <x v="5"/>
    <x v="1"/>
  </r>
  <r>
    <n v="2"/>
    <n v="1557"/>
    <x v="5"/>
    <n v="1154"/>
    <n v="1168"/>
    <n v="0.98801369863013699"/>
    <x v="5"/>
    <x v="1"/>
  </r>
  <r>
    <n v="3"/>
    <n v="236"/>
    <x v="20"/>
    <n v="3378"/>
    <n v="3429"/>
    <n v="0.98512685914260723"/>
    <x v="5"/>
    <x v="1"/>
  </r>
  <r>
    <n v="4"/>
    <n v="246"/>
    <x v="17"/>
    <n v="2564"/>
    <n v="2579"/>
    <n v="0.99418379216750674"/>
    <x v="5"/>
    <x v="1"/>
  </r>
  <r>
    <n v="5"/>
    <n v="28745"/>
    <x v="8"/>
    <n v="362"/>
    <n v="366"/>
    <n v="0.98907103825136611"/>
    <x v="5"/>
    <x v="1"/>
  </r>
  <r>
    <n v="6"/>
    <n v="11799"/>
    <x v="4"/>
    <n v="1419"/>
    <n v="1445"/>
    <n v="0.98200692041522486"/>
    <x v="5"/>
    <x v="1"/>
  </r>
  <r>
    <n v="7"/>
    <n v="11117"/>
    <x v="1"/>
    <n v="8794"/>
    <n v="9058"/>
    <n v="0.97085449326562157"/>
    <x v="5"/>
    <x v="1"/>
  </r>
  <r>
    <n v="8"/>
    <n v="241"/>
    <x v="16"/>
    <n v="1944"/>
    <n v="2044"/>
    <n v="0.95107632093933459"/>
    <x v="5"/>
    <x v="1"/>
  </r>
  <r>
    <n v="9"/>
    <n v="10951"/>
    <x v="9"/>
    <n v="1165"/>
    <n v="1236"/>
    <n v="0.94255663430420711"/>
    <x v="5"/>
    <x v="1"/>
  </r>
  <r>
    <n v="10"/>
    <n v="11882"/>
    <x v="6"/>
    <n v="720"/>
    <n v="762"/>
    <n v="0.94488188976377951"/>
    <x v="5"/>
    <x v="1"/>
  </r>
  <r>
    <n v="11"/>
    <n v="11116"/>
    <x v="10"/>
    <n v="6749"/>
    <n v="7494"/>
    <n v="0.90058713637576726"/>
    <x v="5"/>
    <x v="1"/>
  </r>
  <r>
    <n v="12"/>
    <n v="11931"/>
    <x v="21"/>
    <n v="1644"/>
    <n v="1840"/>
    <n v="0.89347826086956517"/>
    <x v="5"/>
    <x v="1"/>
  </r>
  <r>
    <n v="13"/>
    <n v="243"/>
    <x v="2"/>
    <n v="3219"/>
    <n v="3654"/>
    <n v="0.88095238095238093"/>
    <x v="5"/>
    <x v="1"/>
  </r>
  <r>
    <n v="14"/>
    <n v="240"/>
    <x v="18"/>
    <n v="1696"/>
    <n v="1949"/>
    <n v="0.87018984094407392"/>
    <x v="5"/>
    <x v="1"/>
  </r>
  <r>
    <n v="15"/>
    <n v="238"/>
    <x v="7"/>
    <n v="1117"/>
    <n v="1298"/>
    <n v="0.86055469953775043"/>
    <x v="5"/>
    <x v="1"/>
  </r>
  <r>
    <n v="16"/>
    <n v="237"/>
    <x v="15"/>
    <n v="3444"/>
    <n v="4044"/>
    <n v="0.85163204747774479"/>
    <x v="5"/>
    <x v="1"/>
  </r>
  <r>
    <n v="17"/>
    <n v="234"/>
    <x v="11"/>
    <n v="2956"/>
    <n v="3567"/>
    <n v="0.8287075974208018"/>
    <x v="5"/>
    <x v="1"/>
  </r>
  <r>
    <n v="18"/>
    <n v="10904"/>
    <x v="13"/>
    <n v="834"/>
    <n v="1015"/>
    <n v="0.82167487684729068"/>
    <x v="5"/>
    <x v="1"/>
  </r>
  <r>
    <n v="19"/>
    <n v="239"/>
    <x v="19"/>
    <n v="2213"/>
    <n v="2861"/>
    <n v="0.77350576721426079"/>
    <x v="5"/>
    <x v="1"/>
  </r>
  <r>
    <n v="20"/>
    <n v="233"/>
    <x v="3"/>
    <n v="5122"/>
    <n v="7007"/>
    <n v="0.73098330241187381"/>
    <x v="5"/>
    <x v="1"/>
  </r>
  <r>
    <n v="21"/>
    <n v="235"/>
    <x v="14"/>
    <n v="115"/>
    <n v="609"/>
    <n v="0.18883415435139572"/>
    <x v="5"/>
    <x v="1"/>
  </r>
  <r>
    <n v="1"/>
    <n v="1557"/>
    <x v="5"/>
    <n v="991"/>
    <n v="994"/>
    <n v="0.99698189134808857"/>
    <x v="6"/>
    <x v="1"/>
  </r>
  <r>
    <n v="2"/>
    <n v="28745"/>
    <x v="8"/>
    <n v="263"/>
    <n v="264"/>
    <n v="0.99621212121212122"/>
    <x v="6"/>
    <x v="1"/>
  </r>
  <r>
    <n v="3"/>
    <n v="242"/>
    <x v="12"/>
    <n v="3223"/>
    <n v="3247"/>
    <n v="0.99260856174930701"/>
    <x v="6"/>
    <x v="1"/>
  </r>
  <r>
    <n v="4"/>
    <n v="246"/>
    <x v="17"/>
    <n v="2598"/>
    <n v="2631"/>
    <n v="0.9874572405929305"/>
    <x v="6"/>
    <x v="1"/>
  </r>
  <r>
    <n v="5"/>
    <n v="11799"/>
    <x v="4"/>
    <n v="1076"/>
    <n v="1100"/>
    <n v="0.97818181818181815"/>
    <x v="6"/>
    <x v="1"/>
  </r>
  <r>
    <n v="6"/>
    <n v="243"/>
    <x v="2"/>
    <n v="2364"/>
    <n v="2467"/>
    <n v="0.95824888528577223"/>
    <x v="6"/>
    <x v="1"/>
  </r>
  <r>
    <n v="7"/>
    <n v="241"/>
    <x v="16"/>
    <n v="1832"/>
    <n v="1922"/>
    <n v="0.95317377731529651"/>
    <x v="6"/>
    <x v="1"/>
  </r>
  <r>
    <n v="8"/>
    <n v="11117"/>
    <x v="1"/>
    <n v="7232"/>
    <n v="7742"/>
    <n v="0.93412554895375877"/>
    <x v="6"/>
    <x v="1"/>
  </r>
  <r>
    <n v="9"/>
    <n v="234"/>
    <x v="11"/>
    <n v="2991"/>
    <n v="3201"/>
    <n v="0.93439550140581074"/>
    <x v="6"/>
    <x v="1"/>
  </r>
  <r>
    <n v="10"/>
    <n v="236"/>
    <x v="20"/>
    <n v="3432"/>
    <n v="3705"/>
    <n v="0.9263157894736842"/>
    <x v="6"/>
    <x v="1"/>
  </r>
  <r>
    <n v="11"/>
    <n v="10951"/>
    <x v="9"/>
    <n v="1010"/>
    <n v="1111"/>
    <n v="0.90909090909090906"/>
    <x v="6"/>
    <x v="1"/>
  </r>
  <r>
    <n v="12"/>
    <n v="11116"/>
    <x v="10"/>
    <n v="6969"/>
    <n v="7721"/>
    <n v="0.9026032897293097"/>
    <x v="6"/>
    <x v="1"/>
  </r>
  <r>
    <n v="13"/>
    <n v="239"/>
    <x v="19"/>
    <n v="2820"/>
    <n v="3183"/>
    <n v="0.88595664467483504"/>
    <x v="6"/>
    <x v="1"/>
  </r>
  <r>
    <n v="14"/>
    <n v="11931"/>
    <x v="0"/>
    <n v="1779"/>
    <n v="1994"/>
    <n v="0.89217652958876625"/>
    <x v="6"/>
    <x v="1"/>
  </r>
  <r>
    <n v="15"/>
    <n v="11882"/>
    <x v="6"/>
    <n v="1027"/>
    <n v="1215"/>
    <n v="0.84526748971193411"/>
    <x v="6"/>
    <x v="1"/>
  </r>
  <r>
    <n v="16"/>
    <n v="233"/>
    <x v="3"/>
    <n v="5564"/>
    <n v="6699"/>
    <n v="0.83057172712345129"/>
    <x v="6"/>
    <x v="1"/>
  </r>
  <r>
    <n v="17"/>
    <n v="10904"/>
    <x v="13"/>
    <n v="1188"/>
    <n v="1482"/>
    <n v="0.80161943319838058"/>
    <x v="6"/>
    <x v="1"/>
  </r>
  <r>
    <n v="18"/>
    <n v="237"/>
    <x v="15"/>
    <n v="2383"/>
    <n v="3762"/>
    <n v="0.63343965975544925"/>
    <x v="6"/>
    <x v="1"/>
  </r>
  <r>
    <n v="19"/>
    <n v="238"/>
    <x v="7"/>
    <n v="320"/>
    <n v="594"/>
    <n v="0.53872053872053871"/>
    <x v="6"/>
    <x v="1"/>
  </r>
  <r>
    <n v="20"/>
    <n v="240"/>
    <x v="18"/>
    <n v="555"/>
    <n v="2048"/>
    <n v="0.27099609375"/>
    <x v="6"/>
    <x v="1"/>
  </r>
  <r>
    <n v="21"/>
    <n v="235"/>
    <x v="14"/>
    <n v="47"/>
    <n v="623"/>
    <n v="7.5441412520064199E-2"/>
    <x v="6"/>
    <x v="1"/>
  </r>
  <r>
    <n v="1"/>
    <n v="242"/>
    <x v="12"/>
    <n v="2841"/>
    <n v="2869"/>
    <n v="0.99024050191704427"/>
    <x v="7"/>
    <x v="1"/>
  </r>
  <r>
    <n v="2"/>
    <n v="28745"/>
    <x v="8"/>
    <n v="326"/>
    <n v="328"/>
    <n v="0.99390243902439024"/>
    <x v="7"/>
    <x v="1"/>
  </r>
  <r>
    <n v="3"/>
    <n v="236"/>
    <x v="20"/>
    <n v="3350"/>
    <n v="3410"/>
    <n v="0.98240469208211145"/>
    <x v="7"/>
    <x v="1"/>
  </r>
  <r>
    <n v="4"/>
    <n v="11117"/>
    <x v="1"/>
    <n v="8026"/>
    <n v="8280"/>
    <n v="0.96932367149758458"/>
    <x v="7"/>
    <x v="1"/>
  </r>
  <r>
    <n v="5"/>
    <n v="11799"/>
    <x v="4"/>
    <n v="1108"/>
    <n v="1141"/>
    <n v="0.97107800175284842"/>
    <x v="7"/>
    <x v="1"/>
  </r>
  <r>
    <n v="6"/>
    <n v="235"/>
    <x v="14"/>
    <n v="2307"/>
    <n v="2401"/>
    <n v="0.96084964598084133"/>
    <x v="7"/>
    <x v="1"/>
  </r>
  <r>
    <n v="7"/>
    <n v="11882"/>
    <x v="6"/>
    <n v="1006"/>
    <n v="1060"/>
    <n v="0.94905660377358492"/>
    <x v="7"/>
    <x v="1"/>
  </r>
  <r>
    <n v="8"/>
    <n v="246"/>
    <x v="17"/>
    <n v="2246"/>
    <n v="2388"/>
    <n v="0.94053601340033499"/>
    <x v="7"/>
    <x v="1"/>
  </r>
  <r>
    <n v="9"/>
    <n v="11931"/>
    <x v="21"/>
    <n v="1619"/>
    <n v="1758"/>
    <n v="0.9209328782707622"/>
    <x v="7"/>
    <x v="1"/>
  </r>
  <r>
    <n v="10"/>
    <n v="243"/>
    <x v="2"/>
    <n v="3183"/>
    <n v="3546"/>
    <n v="0.89763113367174285"/>
    <x v="7"/>
    <x v="1"/>
  </r>
  <r>
    <n v="11"/>
    <n v="10951"/>
    <x v="9"/>
    <n v="1235"/>
    <n v="1388"/>
    <n v="0.88976945244956773"/>
    <x v="7"/>
    <x v="1"/>
  </r>
  <r>
    <n v="12"/>
    <n v="11116"/>
    <x v="10"/>
    <n v="6898"/>
    <n v="7760"/>
    <n v="0.88891752577319583"/>
    <x v="7"/>
    <x v="1"/>
  </r>
  <r>
    <n v="13"/>
    <n v="234"/>
    <x v="11"/>
    <n v="3106"/>
    <n v="3600"/>
    <n v="0.86277777777777775"/>
    <x v="7"/>
    <x v="1"/>
  </r>
  <r>
    <n v="14"/>
    <n v="241"/>
    <x v="16"/>
    <n v="1921"/>
    <n v="2400"/>
    <n v="0.80041666666666667"/>
    <x v="7"/>
    <x v="1"/>
  </r>
  <r>
    <n v="15"/>
    <n v="10904"/>
    <x v="13"/>
    <n v="874"/>
    <n v="1112"/>
    <n v="0.78597122302158273"/>
    <x v="7"/>
    <x v="1"/>
  </r>
  <r>
    <n v="16"/>
    <n v="239"/>
    <x v="19"/>
    <n v="2147"/>
    <n v="2723"/>
    <n v="0.78846860080793246"/>
    <x v="7"/>
    <x v="1"/>
  </r>
  <r>
    <n v="17"/>
    <n v="233"/>
    <x v="3"/>
    <n v="5731"/>
    <n v="7422"/>
    <n v="0.77216383724063598"/>
    <x v="7"/>
    <x v="1"/>
  </r>
  <r>
    <n v="18"/>
    <n v="240"/>
    <x v="18"/>
    <n v="1911"/>
    <n v="2622"/>
    <n v="0.72883295194508013"/>
    <x v="7"/>
    <x v="1"/>
  </r>
  <r>
    <n v="19"/>
    <n v="237"/>
    <x v="15"/>
    <n v="3246"/>
    <n v="4765"/>
    <n v="0.68121720881427072"/>
    <x v="7"/>
    <x v="1"/>
  </r>
  <r>
    <n v="20"/>
    <n v="1557"/>
    <x v="5"/>
    <n v="314"/>
    <n v="508"/>
    <n v="0.61811023622047245"/>
    <x v="7"/>
    <x v="1"/>
  </r>
  <r>
    <n v="21"/>
    <n v="238"/>
    <x v="7"/>
    <n v="976"/>
    <n v="1906"/>
    <n v="0.51206715634837352"/>
    <x v="7"/>
    <x v="1"/>
  </r>
  <r>
    <n v="1"/>
    <n v="11117"/>
    <x v="1"/>
    <n v="6678"/>
    <n v="6860"/>
    <n v="0.97346938775510206"/>
    <x v="8"/>
    <x v="1"/>
  </r>
  <r>
    <n v="2"/>
    <n v="11799"/>
    <x v="4"/>
    <n v="2078"/>
    <n v="2132"/>
    <n v="0.97467166979362097"/>
    <x v="8"/>
    <x v="1"/>
  </r>
  <r>
    <n v="3"/>
    <n v="242"/>
    <x v="12"/>
    <n v="3173"/>
    <n v="3342"/>
    <n v="0.9494314781567923"/>
    <x v="8"/>
    <x v="1"/>
  </r>
  <r>
    <n v="4"/>
    <n v="11882"/>
    <x v="6"/>
    <n v="1074"/>
    <n v="1170"/>
    <n v="0.91794871794871791"/>
    <x v="8"/>
    <x v="1"/>
  </r>
  <r>
    <n v="5"/>
    <n v="234"/>
    <x v="11"/>
    <n v="2761"/>
    <n v="3009"/>
    <n v="0.91758059155865734"/>
    <x v="8"/>
    <x v="1"/>
  </r>
  <r>
    <n v="6"/>
    <n v="236"/>
    <x v="20"/>
    <n v="2843"/>
    <n v="3117"/>
    <n v="0.91209496310555016"/>
    <x v="8"/>
    <x v="1"/>
  </r>
  <r>
    <n v="7"/>
    <n v="11116"/>
    <x v="10"/>
    <n v="6694"/>
    <n v="7547"/>
    <n v="0.88697495693653106"/>
    <x v="8"/>
    <x v="1"/>
  </r>
  <r>
    <n v="8"/>
    <n v="241"/>
    <x v="16"/>
    <n v="1745"/>
    <n v="1963"/>
    <n v="0.8889454915944982"/>
    <x v="8"/>
    <x v="1"/>
  </r>
  <r>
    <n v="9"/>
    <n v="11931"/>
    <x v="0"/>
    <n v="1717"/>
    <n v="2006"/>
    <n v="0.85593220338983056"/>
    <x v="8"/>
    <x v="1"/>
  </r>
  <r>
    <n v="10"/>
    <n v="10951"/>
    <x v="9"/>
    <n v="1156"/>
    <n v="1362"/>
    <n v="0.84875183553597655"/>
    <x v="8"/>
    <x v="1"/>
  </r>
  <r>
    <n v="11"/>
    <n v="237"/>
    <x v="15"/>
    <n v="3936"/>
    <n v="4633"/>
    <n v="0.84955752212389379"/>
    <x v="8"/>
    <x v="1"/>
  </r>
  <r>
    <n v="12"/>
    <n v="10904"/>
    <x v="13"/>
    <n v="1118"/>
    <n v="1416"/>
    <n v="0.78954802259887003"/>
    <x v="8"/>
    <x v="1"/>
  </r>
  <r>
    <n v="13"/>
    <n v="233"/>
    <x v="3"/>
    <n v="6409"/>
    <n v="8163"/>
    <n v="0.78512801666054144"/>
    <x v="8"/>
    <x v="1"/>
  </r>
  <r>
    <n v="14"/>
    <n v="238"/>
    <x v="7"/>
    <n v="1468"/>
    <n v="2099"/>
    <n v="0.69938065745593136"/>
    <x v="8"/>
    <x v="1"/>
  </r>
  <r>
    <n v="15"/>
    <n v="246"/>
    <x v="17"/>
    <n v="1445"/>
    <n v="2076"/>
    <n v="0.69605009633911363"/>
    <x v="8"/>
    <x v="1"/>
  </r>
  <r>
    <n v="16"/>
    <n v="240"/>
    <x v="18"/>
    <n v="1368"/>
    <n v="1977"/>
    <n v="0.69195751138088013"/>
    <x v="8"/>
    <x v="1"/>
  </r>
  <r>
    <n v="17"/>
    <n v="235"/>
    <x v="14"/>
    <n v="2521"/>
    <n v="3692"/>
    <n v="0.68282773564463706"/>
    <x v="8"/>
    <x v="1"/>
  </r>
  <r>
    <n v="18"/>
    <n v="243"/>
    <x v="2"/>
    <n v="2459"/>
    <n v="3686"/>
    <n v="0.66711882799782962"/>
    <x v="8"/>
    <x v="1"/>
  </r>
  <r>
    <n v="19"/>
    <n v="1557"/>
    <x v="5"/>
    <n v="412"/>
    <n v="698"/>
    <n v="0.5902578796561605"/>
    <x v="8"/>
    <x v="1"/>
  </r>
  <r>
    <n v="20"/>
    <n v="239"/>
    <x v="19"/>
    <n v="1550"/>
    <n v="2647"/>
    <n v="0.58556856819040426"/>
    <x v="8"/>
    <x v="1"/>
  </r>
  <r>
    <n v="21"/>
    <n v="28745"/>
    <x v="8"/>
    <n v="349"/>
    <n v="784"/>
    <n v="0.44515306122448978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AF79A0-C0D2-46B0-B590-0FA2D020B433}" name="TablaDiná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41">
  <location ref="A4:B14" firstHeaderRow="1" firstDataRow="1" firstDataCol="1" rowPageCount="2" colPageCount="1"/>
  <pivotFields count="8">
    <pivotField showAll="0"/>
    <pivotField showAll="0"/>
    <pivotField axis="axisPage" multipleItemSelectionAllowed="1" showAll="0">
      <items count="23">
        <item h="1" x="2"/>
        <item h="1" x="11"/>
        <item h="1" x="16"/>
        <item h="1" x="6"/>
        <item h="1" x="18"/>
        <item h="1" x="21"/>
        <item h="1" x="1"/>
        <item h="1" x="17"/>
        <item h="1" x="8"/>
        <item h="1" x="20"/>
        <item h="1" x="10"/>
        <item x="7"/>
        <item h="1" x="4"/>
        <item h="1" x="9"/>
        <item h="1" x="13"/>
        <item h="1" x="19"/>
        <item h="1" x="14"/>
        <item h="1" x="5"/>
        <item h="1" x="15"/>
        <item h="1" x="3"/>
        <item h="1" x="12"/>
        <item h="1" x="0"/>
        <item t="default"/>
      </items>
    </pivotField>
    <pivotField showAll="0"/>
    <pivotField showAll="0"/>
    <pivotField dataField="1" numFmtId="10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2">
    <pageField fld="2" hier="-1"/>
    <pageField fld="7" hier="-1"/>
  </pageFields>
  <dataFields count="1">
    <dataField name="Suma de Indicador" fld="5" baseField="0" baseItem="0"/>
  </dataFields>
  <formats count="21">
    <format dxfId="53">
      <pivotArea type="all" dataOnly="0" outline="0" fieldPosition="0"/>
    </format>
    <format dxfId="52">
      <pivotArea outline="0" collapsedLevelsAreSubtotals="1" fieldPosition="0"/>
    </format>
    <format dxfId="51">
      <pivotArea dataOnly="0" labelOnly="1" outline="0" axis="axisValues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labelOnly="1" outline="0" axis="axisValues" fieldPosition="0"/>
    </format>
    <format dxfId="47">
      <pivotArea outline="0" collapsedLevelsAreSubtotals="1" fieldPosition="0"/>
    </format>
    <format dxfId="46">
      <pivotArea dataOnly="0" labelOnly="1" outline="0" fieldPosition="0">
        <references count="1">
          <reference field="2" count="0"/>
        </references>
      </pivotArea>
    </format>
    <format dxfId="45">
      <pivotArea dataOnly="0" labelOnly="1" outline="0" axis="axisValues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6" type="button" dataOnly="0" labelOnly="1" outline="0" axis="axisRow" fieldPosition="0"/>
    </format>
    <format dxfId="41">
      <pivotArea dataOnly="0" labelOnly="1" fieldPosition="0">
        <references count="1">
          <reference field="6" count="0"/>
        </references>
      </pivotArea>
    </format>
    <format dxfId="40">
      <pivotArea dataOnly="0" labelOnly="1" grandRow="1" outline="0" fieldPosition="0"/>
    </format>
    <format dxfId="39">
      <pivotArea dataOnly="0" labelOnly="1" outline="0" axis="axisValues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6" type="button" dataOnly="0" labelOnly="1" outline="0" axis="axisRow" fieldPosition="0"/>
    </format>
    <format dxfId="35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34">
      <pivotArea dataOnly="0" labelOnly="1" grandRow="1" outline="0" fieldPosition="0"/>
    </format>
    <format dxfId="33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F51D06-0755-42E7-A691-002F54B254B8}" name="TablaDiná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">
  <location ref="A4:B14" firstHeaderRow="1" firstDataRow="1" firstDataCol="1" rowPageCount="2" colPageCount="1"/>
  <pivotFields count="8">
    <pivotField showAll="0"/>
    <pivotField showAll="0"/>
    <pivotField axis="axisPage" multipleItemSelectionAllowed="1" showAll="0">
      <items count="23">
        <item h="1" x="2"/>
        <item x="11"/>
        <item h="1" x="16"/>
        <item h="1" x="6"/>
        <item h="1" x="18"/>
        <item h="1" x="21"/>
        <item h="1" x="1"/>
        <item h="1" x="17"/>
        <item h="1" x="8"/>
        <item h="1" x="20"/>
        <item h="1" x="10"/>
        <item h="1" x="7"/>
        <item h="1" x="4"/>
        <item h="1" x="9"/>
        <item h="1" x="13"/>
        <item h="1" x="19"/>
        <item h="1" x="14"/>
        <item h="1" x="5"/>
        <item h="1" x="15"/>
        <item h="1" x="3"/>
        <item h="1" x="12"/>
        <item h="1" x="0"/>
        <item t="default"/>
      </items>
    </pivotField>
    <pivotField showAll="0"/>
    <pivotField dataField="1" showAll="0"/>
    <pivotField numFmtId="10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2">
    <pageField fld="2" hier="-1"/>
    <pageField fld="7" hier="-1"/>
  </pageFields>
  <dataFields count="1">
    <dataField name="Suma de Total FUAs Digitados" fld="4" baseField="0" baseItem="0"/>
  </dataFields>
  <formats count="21"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outline="0" axis="axisValues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dataOnly="0" labelOnly="1" outline="0" axis="axisValues" fieldPosition="0"/>
    </format>
    <format dxfId="26">
      <pivotArea outline="0" collapsedLevelsAreSubtotals="1" fieldPosition="0"/>
    </format>
    <format dxfId="25">
      <pivotArea dataOnly="0" labelOnly="1" outline="0" fieldPosition="0">
        <references count="1">
          <reference field="2" count="0"/>
        </references>
      </pivotArea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6" type="button" dataOnly="0" labelOnly="1" outline="0" axis="axisRow" fieldPosition="0"/>
    </format>
    <format dxfId="20">
      <pivotArea dataOnly="0" labelOnly="1" fieldPosition="0">
        <references count="1">
          <reference field="6" count="0"/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6" type="button" dataOnly="0" labelOnly="1" outline="0" axis="axisRow" fieldPosition="0"/>
    </format>
    <format dxfId="14">
      <pivotArea dataOnly="0" labelOnly="1" fieldPosition="0">
        <references count="1">
          <reference field="6" count="0"/>
        </references>
      </pivotArea>
    </format>
    <format dxfId="13">
      <pivotArea dataOnly="0" labelOnly="1" grandRow="1" outline="0" fieldPosition="0"/>
    </format>
    <format dxfId="12">
      <pivotArea dataOnly="0" labelOnly="1" outline="0" axis="axisValues" fieldPosition="0"/>
    </format>
  </formats>
  <chartFormats count="1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T35"/>
  <sheetViews>
    <sheetView zoomScale="60" zoomScaleNormal="60" workbookViewId="0">
      <selection activeCell="F4" sqref="F4"/>
    </sheetView>
  </sheetViews>
  <sheetFormatPr baseColWidth="10" defaultColWidth="10.88671875" defaultRowHeight="15" x14ac:dyDescent="0.25"/>
  <cols>
    <col min="1" max="1" width="6.88671875" style="17" customWidth="1"/>
    <col min="2" max="2" width="12.6640625" style="18" bestFit="1" customWidth="1"/>
    <col min="3" max="3" width="44.5546875" style="18" customWidth="1"/>
    <col min="4" max="4" width="19.6640625" style="18" customWidth="1"/>
    <col min="5" max="5" width="12.88671875" style="18" bestFit="1" customWidth="1"/>
    <col min="6" max="6" width="12.5546875" style="41" customWidth="1"/>
    <col min="7" max="7" width="4.88671875" style="17" customWidth="1"/>
    <col min="8" max="8" width="14.5546875" style="17" bestFit="1" customWidth="1"/>
    <col min="9" max="9" width="9.88671875" style="17" customWidth="1"/>
    <col min="10" max="12" width="10.88671875" style="17"/>
    <col min="13" max="13" width="19.6640625" style="17" bestFit="1" customWidth="1"/>
    <col min="14" max="16384" width="10.88671875" style="17"/>
  </cols>
  <sheetData>
    <row r="1" spans="1:20" ht="46.5" customHeight="1" x14ac:dyDescent="0.25">
      <c r="A1" s="77" t="str">
        <f>"Oportunidad de Digitación SIS "&amp;
"del 01 de Enero 2025 al 31 de "&amp; N1&amp;" "&amp; O1
&amp;" 
Acumulado Anual"</f>
        <v>Oportunidad de Digitación SIS del 01 de Enero 2025 al 31 de Marzo 2025 
Acumulado Anual</v>
      </c>
      <c r="B1" s="77"/>
      <c r="C1" s="77"/>
      <c r="D1" s="77"/>
      <c r="E1" s="77"/>
      <c r="F1" s="77"/>
      <c r="G1" s="13"/>
      <c r="H1" s="13"/>
      <c r="I1" s="14"/>
      <c r="J1" s="15"/>
      <c r="K1" s="15"/>
      <c r="L1" s="15"/>
      <c r="M1" s="50">
        <v>3</v>
      </c>
      <c r="N1" s="50" t="str">
        <f>VLOOKUP(M1,Tablas!D2:E13,2,0)</f>
        <v>Marzo</v>
      </c>
      <c r="O1" s="50">
        <v>2025</v>
      </c>
    </row>
    <row r="2" spans="1:20" x14ac:dyDescent="0.25">
      <c r="A2" s="15"/>
      <c r="C2" s="19"/>
      <c r="D2" s="19"/>
      <c r="E2" s="19"/>
      <c r="F2" s="20"/>
      <c r="G2" s="15"/>
      <c r="H2" s="15"/>
      <c r="I2" s="21"/>
      <c r="J2" s="15"/>
      <c r="K2" s="15"/>
      <c r="L2" s="15"/>
    </row>
    <row r="3" spans="1:20" ht="45" x14ac:dyDescent="0.25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15"/>
      <c r="H3" s="15"/>
      <c r="I3" s="21"/>
      <c r="J3" s="15"/>
      <c r="K3" s="15"/>
      <c r="L3" s="15"/>
      <c r="S3" s="75"/>
      <c r="T3" s="76"/>
    </row>
    <row r="4" spans="1:20" x14ac:dyDescent="0.25">
      <c r="A4" s="23">
        <v>1</v>
      </c>
      <c r="B4" s="23">
        <v>11799</v>
      </c>
      <c r="C4" s="51" t="s">
        <v>21</v>
      </c>
      <c r="D4" s="23">
        <f>VLOOKUP($M4,Data_Anual!$A:$E,5,0)</f>
        <v>4851</v>
      </c>
      <c r="E4" s="23">
        <f>VLOOKUP($M4,Data_Anual!$A:$G,6,0)</f>
        <v>5022</v>
      </c>
      <c r="F4" s="25">
        <f>VLOOKUP($M4,Data_Anual!$A:$G,7,0)</f>
        <v>0.96594982078853042</v>
      </c>
      <c r="G4" s="15"/>
      <c r="H4" s="15"/>
      <c r="I4" s="21"/>
      <c r="J4" s="40"/>
      <c r="K4" s="15"/>
      <c r="L4" s="15"/>
      <c r="M4" s="17" t="str">
        <f>B4&amp;$N$1&amp;$O$1</f>
        <v>11799Marzo2025</v>
      </c>
      <c r="S4" s="75"/>
      <c r="T4" s="76"/>
    </row>
    <row r="5" spans="1:20" x14ac:dyDescent="0.25">
      <c r="A5" s="23">
        <v>2</v>
      </c>
      <c r="B5" s="23">
        <v>11882</v>
      </c>
      <c r="C5" s="51" t="s">
        <v>22</v>
      </c>
      <c r="D5" s="23">
        <f>VLOOKUP($M5,Data_Anual!$A:$E,5,0)</f>
        <v>2319</v>
      </c>
      <c r="E5" s="23">
        <f>VLOOKUP($M5,Data_Anual!$A:$G,6,0)</f>
        <v>2417</v>
      </c>
      <c r="F5" s="25">
        <f>VLOOKUP($M5,Data_Anual!$A:$G,7,0)</f>
        <v>0.95945386843194047</v>
      </c>
      <c r="G5" s="15"/>
      <c r="H5" s="15"/>
      <c r="I5" s="26" t="s">
        <v>8</v>
      </c>
      <c r="J5" s="40"/>
      <c r="K5" s="15"/>
      <c r="L5" s="15"/>
      <c r="M5" s="17" t="str">
        <f t="shared" ref="M5:M26" si="0">B5&amp;$N$1&amp;$O$1</f>
        <v>11882Marzo2025</v>
      </c>
      <c r="S5" s="75"/>
      <c r="T5" s="76"/>
    </row>
    <row r="6" spans="1:20" x14ac:dyDescent="0.25">
      <c r="A6" s="23">
        <v>3</v>
      </c>
      <c r="B6" s="23">
        <v>11117</v>
      </c>
      <c r="C6" s="51" t="s">
        <v>15</v>
      </c>
      <c r="D6" s="23">
        <f>VLOOKUP($M6,Data_Anual!$A:$E,5,0)</f>
        <v>18120</v>
      </c>
      <c r="E6" s="23">
        <f>VLOOKUP($M6,Data_Anual!$A:$G,6,0)</f>
        <v>18900</v>
      </c>
      <c r="F6" s="25">
        <f>VLOOKUP($M6,Data_Anual!$A:$G,7,0)</f>
        <v>0.95873015873015877</v>
      </c>
      <c r="G6" s="15"/>
      <c r="H6" s="27" t="s">
        <v>10</v>
      </c>
      <c r="I6" s="28" t="s">
        <v>11</v>
      </c>
      <c r="J6" s="40"/>
      <c r="K6" s="15"/>
      <c r="L6" s="15"/>
      <c r="M6" s="17" t="str">
        <f t="shared" si="0"/>
        <v>11117Marzo2025</v>
      </c>
      <c r="S6" s="75"/>
      <c r="T6" s="76"/>
    </row>
    <row r="7" spans="1:20" x14ac:dyDescent="0.25">
      <c r="A7" s="23">
        <v>4</v>
      </c>
      <c r="B7" s="23" t="s">
        <v>69</v>
      </c>
      <c r="C7" s="24" t="s">
        <v>65</v>
      </c>
      <c r="D7" s="23">
        <f>VLOOKUP($M7,Data_Anual!$A:$E,5,0)</f>
        <v>1899</v>
      </c>
      <c r="E7" s="23">
        <f>VLOOKUP($M7,Data_Anual!$A:$G,6,0)</f>
        <v>1985</v>
      </c>
      <c r="F7" s="25">
        <f>VLOOKUP($M7,Data_Anual!$A:$G,7,0)</f>
        <v>0.95667506297229221</v>
      </c>
      <c r="G7" s="15"/>
      <c r="H7" s="27" t="s">
        <v>13</v>
      </c>
      <c r="I7" s="29" t="s">
        <v>14</v>
      </c>
      <c r="J7" s="40"/>
      <c r="K7" s="15"/>
      <c r="L7" s="15"/>
      <c r="M7" s="17" t="str">
        <f t="shared" si="0"/>
        <v>12165Marzo2025</v>
      </c>
      <c r="S7" s="75"/>
      <c r="T7" s="76"/>
    </row>
    <row r="8" spans="1:20" x14ac:dyDescent="0.25">
      <c r="A8" s="23">
        <v>5</v>
      </c>
      <c r="B8" s="23">
        <v>10904</v>
      </c>
      <c r="C8" s="51" t="s">
        <v>28</v>
      </c>
      <c r="D8" s="23">
        <f>VLOOKUP($M8,Data_Anual!$A:$E,5,0)</f>
        <v>3932</v>
      </c>
      <c r="E8" s="23">
        <f>VLOOKUP($M8,Data_Anual!$A:$G,6,0)</f>
        <v>4186</v>
      </c>
      <c r="F8" s="25">
        <f>VLOOKUP($M8,Data_Anual!$A:$G,7,0)</f>
        <v>0.93932154801720014</v>
      </c>
      <c r="G8" s="15"/>
      <c r="H8" s="27" t="s">
        <v>16</v>
      </c>
      <c r="I8" s="30" t="s">
        <v>17</v>
      </c>
      <c r="J8" s="40"/>
      <c r="K8" s="15"/>
      <c r="L8" s="15"/>
      <c r="M8" s="17" t="str">
        <f t="shared" si="0"/>
        <v>10904Marzo2025</v>
      </c>
      <c r="S8" s="75"/>
      <c r="T8" s="76"/>
    </row>
    <row r="9" spans="1:20" x14ac:dyDescent="0.25">
      <c r="A9" s="23">
        <v>6</v>
      </c>
      <c r="B9" s="23">
        <v>240</v>
      </c>
      <c r="C9" s="51" t="s">
        <v>23</v>
      </c>
      <c r="D9" s="23">
        <f>VLOOKUP($M9,Data_Anual!$A:$E,5,0)</f>
        <v>7857</v>
      </c>
      <c r="E9" s="23">
        <f>VLOOKUP($M9,Data_Anual!$A:$G,6,0)</f>
        <v>8436</v>
      </c>
      <c r="F9" s="25">
        <f>VLOOKUP($M9,Data_Anual!$A:$G,7,0)</f>
        <v>0.93136557610241821</v>
      </c>
      <c r="G9" s="15"/>
      <c r="H9" s="27" t="s">
        <v>19</v>
      </c>
      <c r="I9" s="31" t="s">
        <v>20</v>
      </c>
      <c r="J9" s="40"/>
      <c r="K9" s="15"/>
      <c r="L9" s="15"/>
      <c r="M9" s="17" t="str">
        <f t="shared" si="0"/>
        <v>240Marzo2025</v>
      </c>
      <c r="S9" s="75"/>
      <c r="T9" s="76"/>
    </row>
    <row r="10" spans="1:20" x14ac:dyDescent="0.25">
      <c r="A10" s="23">
        <v>7</v>
      </c>
      <c r="B10" s="23">
        <v>235</v>
      </c>
      <c r="C10" s="51" t="s">
        <v>32</v>
      </c>
      <c r="D10" s="23">
        <f>VLOOKUP($M10,Data_Anual!$A:$E,5,0)</f>
        <v>6672</v>
      </c>
      <c r="E10" s="23">
        <f>VLOOKUP($M10,Data_Anual!$A:$G,6,0)</f>
        <v>7284</v>
      </c>
      <c r="F10" s="25">
        <f>VLOOKUP($M10,Data_Anual!$A:$G,7,0)</f>
        <v>0.91598023064250411</v>
      </c>
      <c r="G10" s="15"/>
      <c r="H10" s="15"/>
      <c r="I10" s="21"/>
      <c r="J10" s="40"/>
      <c r="K10" s="15"/>
      <c r="L10" s="15"/>
      <c r="M10" s="17" t="str">
        <f t="shared" si="0"/>
        <v>235Marzo2025</v>
      </c>
      <c r="S10" s="75"/>
      <c r="T10" s="76"/>
    </row>
    <row r="11" spans="1:20" x14ac:dyDescent="0.25">
      <c r="A11" s="23">
        <v>8</v>
      </c>
      <c r="B11" s="23">
        <v>241</v>
      </c>
      <c r="C11" s="51" t="s">
        <v>29</v>
      </c>
      <c r="D11" s="23">
        <f>VLOOKUP($M11,Data_Anual!$A:$E,5,0)</f>
        <v>3616</v>
      </c>
      <c r="E11" s="23">
        <f>VLOOKUP($M11,Data_Anual!$A:$G,6,0)</f>
        <v>3961</v>
      </c>
      <c r="F11" s="25">
        <f>VLOOKUP($M11,Data_Anual!$A:$G,7,0)</f>
        <v>0.91290078263064878</v>
      </c>
      <c r="G11" s="15"/>
      <c r="H11" s="15"/>
      <c r="I11" s="21"/>
      <c r="J11" s="40"/>
      <c r="K11" s="15"/>
      <c r="L11" s="15"/>
      <c r="M11" s="17" t="str">
        <f t="shared" si="0"/>
        <v>241Marzo2025</v>
      </c>
      <c r="S11" s="75"/>
      <c r="T11" s="76"/>
    </row>
    <row r="12" spans="1:20" x14ac:dyDescent="0.25">
      <c r="A12" s="23">
        <v>9</v>
      </c>
      <c r="B12" s="23">
        <v>11931</v>
      </c>
      <c r="C12" s="51" t="s">
        <v>26</v>
      </c>
      <c r="D12" s="23">
        <f>VLOOKUP($M12,Data_Anual!$A:$E,5,0)</f>
        <v>5429</v>
      </c>
      <c r="E12" s="23">
        <f>VLOOKUP($M12,Data_Anual!$A:$G,6,0)</f>
        <v>6064</v>
      </c>
      <c r="F12" s="25">
        <f>VLOOKUP($M12,Data_Anual!$A:$G,7,0)</f>
        <v>0.89528364116094983</v>
      </c>
      <c r="G12" s="15"/>
      <c r="H12" s="15"/>
      <c r="I12" s="21"/>
      <c r="J12" s="40"/>
      <c r="K12" s="15"/>
      <c r="L12" s="15"/>
      <c r="M12" s="17" t="str">
        <f t="shared" si="0"/>
        <v>11931Marzo2025</v>
      </c>
      <c r="S12" s="75"/>
      <c r="T12" s="76"/>
    </row>
    <row r="13" spans="1:20" x14ac:dyDescent="0.25">
      <c r="A13" s="23">
        <v>10</v>
      </c>
      <c r="B13" s="23">
        <v>11116</v>
      </c>
      <c r="C13" s="51" t="s">
        <v>27</v>
      </c>
      <c r="D13" s="23">
        <f>VLOOKUP($M13,Data_Anual!$A:$E,5,0)</f>
        <v>20999</v>
      </c>
      <c r="E13" s="23">
        <f>VLOOKUP($M13,Data_Anual!$A:$G,6,0)</f>
        <v>23641</v>
      </c>
      <c r="F13" s="25">
        <f>VLOOKUP($M13,Data_Anual!$A:$G,7,0)</f>
        <v>0.88824499809652724</v>
      </c>
      <c r="G13" s="15"/>
      <c r="H13" s="15"/>
      <c r="I13" s="21"/>
      <c r="J13" s="40"/>
      <c r="K13" s="15"/>
      <c r="L13" s="15"/>
      <c r="M13" s="17" t="str">
        <f t="shared" si="0"/>
        <v>11116Marzo2025</v>
      </c>
      <c r="S13" s="75"/>
      <c r="T13" s="76"/>
    </row>
    <row r="14" spans="1:20" x14ac:dyDescent="0.25">
      <c r="A14" s="23">
        <v>11</v>
      </c>
      <c r="B14" s="23">
        <v>10951</v>
      </c>
      <c r="C14" s="51" t="s">
        <v>24</v>
      </c>
      <c r="D14" s="23">
        <f>VLOOKUP($M14,Data_Anual!$A:$E,5,0)</f>
        <v>3864</v>
      </c>
      <c r="E14" s="23">
        <f>VLOOKUP($M14,Data_Anual!$A:$G,6,0)</f>
        <v>4382</v>
      </c>
      <c r="F14" s="25">
        <f>VLOOKUP($M14,Data_Anual!$A:$G,7,0)</f>
        <v>0.88178913738019171</v>
      </c>
      <c r="G14" s="15"/>
      <c r="H14" s="15"/>
      <c r="I14" s="21"/>
      <c r="J14" s="40"/>
      <c r="K14" s="15"/>
      <c r="L14" s="15"/>
      <c r="M14" s="17" t="str">
        <f t="shared" si="0"/>
        <v>10951Marzo2025</v>
      </c>
      <c r="S14" s="75"/>
      <c r="T14" s="76"/>
    </row>
    <row r="15" spans="1:20" x14ac:dyDescent="0.25">
      <c r="A15" s="23">
        <v>12</v>
      </c>
      <c r="B15" s="23">
        <v>239</v>
      </c>
      <c r="C15" s="51" t="s">
        <v>31</v>
      </c>
      <c r="D15" s="23">
        <f>VLOOKUP($M15,Data_Anual!$A:$E,5,0)</f>
        <v>9005</v>
      </c>
      <c r="E15" s="23">
        <f>VLOOKUP($M15,Data_Anual!$A:$G,6,0)</f>
        <v>10305</v>
      </c>
      <c r="F15" s="25">
        <f>VLOOKUP($M15,Data_Anual!$A:$G,7,0)</f>
        <v>0.87384764677341098</v>
      </c>
      <c r="G15" s="15"/>
      <c r="H15" s="15"/>
      <c r="I15" s="21"/>
      <c r="J15" s="40"/>
      <c r="K15" s="15"/>
      <c r="L15" s="15"/>
      <c r="M15" s="17" t="str">
        <f t="shared" si="0"/>
        <v>239Marzo2025</v>
      </c>
      <c r="S15" s="75"/>
      <c r="T15" s="76"/>
    </row>
    <row r="16" spans="1:20" x14ac:dyDescent="0.25">
      <c r="A16" s="23">
        <v>13</v>
      </c>
      <c r="B16" s="23">
        <v>236</v>
      </c>
      <c r="C16" s="51" t="s">
        <v>25</v>
      </c>
      <c r="D16" s="23">
        <f>VLOOKUP($M16,Data_Anual!$A:$E,5,0)</f>
        <v>9262</v>
      </c>
      <c r="E16" s="23">
        <f>VLOOKUP($M16,Data_Anual!$A:$G,6,0)</f>
        <v>10937</v>
      </c>
      <c r="F16" s="25">
        <f>VLOOKUP($M16,Data_Anual!$A:$G,7,0)</f>
        <v>0.84685014172076434</v>
      </c>
      <c r="G16" s="15"/>
      <c r="H16" s="15"/>
      <c r="I16" s="21"/>
      <c r="J16" s="40"/>
      <c r="K16" s="15"/>
      <c r="L16" s="15"/>
      <c r="M16" s="17" t="str">
        <f t="shared" si="0"/>
        <v>236Marzo2025</v>
      </c>
      <c r="S16" s="75"/>
      <c r="T16" s="76"/>
    </row>
    <row r="17" spans="1:20" x14ac:dyDescent="0.25">
      <c r="A17" s="23">
        <v>14</v>
      </c>
      <c r="B17" s="23">
        <v>238</v>
      </c>
      <c r="C17" s="51" t="s">
        <v>34</v>
      </c>
      <c r="D17" s="23">
        <f>VLOOKUP($M17,Data_Anual!$A:$E,5,0)</f>
        <v>4742</v>
      </c>
      <c r="E17" s="23">
        <f>VLOOKUP($M17,Data_Anual!$A:$G,6,0)</f>
        <v>5625</v>
      </c>
      <c r="F17" s="25">
        <f>VLOOKUP($M17,Data_Anual!$A:$G,7,0)</f>
        <v>0.84302222222222223</v>
      </c>
      <c r="G17" s="15"/>
      <c r="H17" s="15"/>
      <c r="I17" s="21"/>
      <c r="J17" s="40"/>
      <c r="K17" s="15"/>
      <c r="L17" s="15"/>
      <c r="M17" s="17" t="str">
        <f t="shared" si="0"/>
        <v>238Marzo2025</v>
      </c>
      <c r="S17" s="75"/>
      <c r="T17" s="76"/>
    </row>
    <row r="18" spans="1:20" x14ac:dyDescent="0.25">
      <c r="A18" s="23">
        <v>15</v>
      </c>
      <c r="B18" s="23">
        <v>242</v>
      </c>
      <c r="C18" s="51" t="s">
        <v>7</v>
      </c>
      <c r="D18" s="23">
        <f>VLOOKUP($M18,Data_Anual!$A:$E,5,0)</f>
        <v>4388</v>
      </c>
      <c r="E18" s="23">
        <f>VLOOKUP($M18,Data_Anual!$A:$G,6,0)</f>
        <v>5207</v>
      </c>
      <c r="F18" s="25">
        <f>VLOOKUP($M18,Data_Anual!$A:$G,7,0)</f>
        <v>0.84271173420395618</v>
      </c>
      <c r="G18" s="15"/>
      <c r="H18" s="15"/>
      <c r="I18" s="21"/>
      <c r="J18" s="40"/>
      <c r="K18" s="15"/>
      <c r="L18" s="15"/>
      <c r="M18" s="17" t="str">
        <f t="shared" si="0"/>
        <v>242Marzo2025</v>
      </c>
      <c r="S18" s="75"/>
      <c r="T18" s="76"/>
    </row>
    <row r="19" spans="1:20" x14ac:dyDescent="0.25">
      <c r="A19" s="23">
        <v>16</v>
      </c>
      <c r="B19" s="23" t="s">
        <v>67</v>
      </c>
      <c r="C19" s="74" t="s">
        <v>66</v>
      </c>
      <c r="D19" s="23">
        <f>VLOOKUP($M19,Data_Anual!$A:$E,5,0)</f>
        <v>2890</v>
      </c>
      <c r="E19" s="23">
        <f>VLOOKUP($M19,Data_Anual!$A:$G,6,0)</f>
        <v>3682</v>
      </c>
      <c r="F19" s="52">
        <f>VLOOKUP($M19,Data_Anual!$A:$G,7,0)</f>
        <v>0.78489951113525258</v>
      </c>
      <c r="G19" s="15"/>
      <c r="H19" s="15"/>
      <c r="I19" s="21"/>
      <c r="J19" s="40"/>
      <c r="K19" s="15"/>
      <c r="L19" s="15"/>
      <c r="M19" s="17" t="str">
        <f t="shared" si="0"/>
        <v>12163Marzo2025</v>
      </c>
      <c r="S19" s="75"/>
      <c r="T19" s="76"/>
    </row>
    <row r="20" spans="1:20" x14ac:dyDescent="0.25">
      <c r="A20" s="23">
        <v>17</v>
      </c>
      <c r="B20" s="23" t="s">
        <v>68</v>
      </c>
      <c r="C20" s="24" t="s">
        <v>64</v>
      </c>
      <c r="D20" s="23">
        <f>VLOOKUP($M20,Data_Anual!$A:$E,5,0)</f>
        <v>3409</v>
      </c>
      <c r="E20" s="23">
        <f>VLOOKUP($M20,Data_Anual!$A:$G,6,0)</f>
        <v>4382</v>
      </c>
      <c r="F20" s="25">
        <f>VLOOKUP($M20,Data_Anual!$A:$G,7,0)</f>
        <v>0.77795527156549515</v>
      </c>
      <c r="G20" s="15"/>
      <c r="H20" s="15"/>
      <c r="I20" s="21"/>
      <c r="J20" s="40"/>
      <c r="K20" s="15"/>
      <c r="L20" s="15"/>
      <c r="M20" s="17" t="str">
        <f t="shared" si="0"/>
        <v>12166Marzo2025</v>
      </c>
      <c r="S20" s="75"/>
      <c r="T20" s="76"/>
    </row>
    <row r="21" spans="1:20" x14ac:dyDescent="0.25">
      <c r="A21" s="23">
        <v>18</v>
      </c>
      <c r="B21" s="23">
        <v>246</v>
      </c>
      <c r="C21" s="51" t="s">
        <v>9</v>
      </c>
      <c r="D21" s="23">
        <f>VLOOKUP($M21,Data_Anual!$A:$E,5,0)</f>
        <v>4638</v>
      </c>
      <c r="E21" s="23">
        <f>VLOOKUP($M21,Data_Anual!$A:$G,6,0)</f>
        <v>6287</v>
      </c>
      <c r="F21" s="25">
        <f>VLOOKUP($M21,Data_Anual!$A:$G,7,0)</f>
        <v>0.73771274057579128</v>
      </c>
      <c r="G21" s="15"/>
      <c r="H21" s="15"/>
      <c r="I21" s="21"/>
      <c r="J21" s="40"/>
      <c r="K21" s="15"/>
      <c r="L21" s="33"/>
      <c r="M21" s="17" t="str">
        <f t="shared" si="0"/>
        <v>246Marzo2025</v>
      </c>
      <c r="S21" s="75"/>
      <c r="T21" s="76"/>
    </row>
    <row r="22" spans="1:20" x14ac:dyDescent="0.25">
      <c r="A22" s="23">
        <v>19</v>
      </c>
      <c r="B22" s="23">
        <v>243</v>
      </c>
      <c r="C22" s="51" t="s">
        <v>33</v>
      </c>
      <c r="D22" s="23">
        <f>VLOOKUP($M22,Data_Anual!$A:$E,5,0)</f>
        <v>6359</v>
      </c>
      <c r="E22" s="23">
        <f>VLOOKUP($M22,Data_Anual!$A:$G,6,0)</f>
        <v>9428</v>
      </c>
      <c r="F22" s="25">
        <f>VLOOKUP($M22,Data_Anual!$A:$G,7,0)</f>
        <v>0.67448027153160794</v>
      </c>
      <c r="G22" s="15"/>
      <c r="H22" s="15"/>
      <c r="I22" s="21"/>
      <c r="J22" s="40"/>
      <c r="K22" s="15"/>
      <c r="L22" s="15"/>
      <c r="M22" s="17" t="str">
        <f t="shared" si="0"/>
        <v>243Marzo2025</v>
      </c>
      <c r="S22" s="75"/>
      <c r="T22" s="76"/>
    </row>
    <row r="23" spans="1:20" x14ac:dyDescent="0.25">
      <c r="A23" s="23">
        <v>20</v>
      </c>
      <c r="B23" s="23">
        <v>234</v>
      </c>
      <c r="C23" s="18" t="s">
        <v>18</v>
      </c>
      <c r="D23" s="23">
        <f>VLOOKUP($M23,Data_Anual!$A:$E,5,0)</f>
        <v>7425</v>
      </c>
      <c r="E23" s="23">
        <f>VLOOKUP($M23,Data_Anual!$A:$G,6,0)</f>
        <v>11268</v>
      </c>
      <c r="F23" s="25">
        <f>VLOOKUP($M23,Data_Anual!$A:$G,7,0)</f>
        <v>0.65894568690095845</v>
      </c>
      <c r="G23" s="15"/>
      <c r="H23" s="15"/>
      <c r="I23" s="21"/>
      <c r="J23" s="40"/>
      <c r="K23" s="15"/>
      <c r="L23" s="15"/>
      <c r="M23" s="17" t="str">
        <f t="shared" si="0"/>
        <v>234Marzo2025</v>
      </c>
      <c r="S23" s="75"/>
      <c r="T23" s="76"/>
    </row>
    <row r="24" spans="1:20" x14ac:dyDescent="0.25">
      <c r="A24" s="23">
        <v>21</v>
      </c>
      <c r="B24" s="23">
        <v>1557</v>
      </c>
      <c r="C24" s="51" t="s">
        <v>12</v>
      </c>
      <c r="D24" s="23">
        <f>VLOOKUP($M24,Data_Anual!$A:$E,5,0)</f>
        <v>2710</v>
      </c>
      <c r="E24" s="23">
        <f>VLOOKUP($M24,Data_Anual!$A:$G,6,0)</f>
        <v>4197</v>
      </c>
      <c r="F24" s="54">
        <f>VLOOKUP($M24,Data_Anual!$A:$G,7,0)</f>
        <v>0.64569930903025974</v>
      </c>
      <c r="G24" s="15"/>
      <c r="H24" s="15"/>
      <c r="I24" s="21"/>
      <c r="J24" s="40"/>
      <c r="K24" s="15"/>
      <c r="L24" s="15"/>
      <c r="M24" s="17" t="str">
        <f t="shared" si="0"/>
        <v>1557Marzo2025</v>
      </c>
      <c r="S24" s="75"/>
      <c r="T24" s="76"/>
    </row>
    <row r="25" spans="1:20" x14ac:dyDescent="0.25">
      <c r="A25" s="23">
        <v>22</v>
      </c>
      <c r="B25" s="23">
        <v>28745</v>
      </c>
      <c r="C25" s="51" t="s">
        <v>6</v>
      </c>
      <c r="D25" s="23">
        <f>VLOOKUP($M25,Data_Anual!$A:$E,5,0)</f>
        <v>1204</v>
      </c>
      <c r="E25" s="23">
        <f>VLOOKUP($M25,Data_Anual!$A:$G,6,0)</f>
        <v>1988</v>
      </c>
      <c r="F25" s="54">
        <f>VLOOKUP($M25,Data_Anual!$A:$G,7,0)</f>
        <v>0.60563380281690138</v>
      </c>
      <c r="G25" s="15"/>
      <c r="H25" s="15"/>
      <c r="I25" s="21"/>
      <c r="J25" s="40"/>
      <c r="K25" s="15"/>
      <c r="L25" s="15"/>
      <c r="M25" s="17" t="str">
        <f t="shared" si="0"/>
        <v>28745Marzo2025</v>
      </c>
      <c r="S25" s="75"/>
      <c r="T25" s="76"/>
    </row>
    <row r="26" spans="1:20" x14ac:dyDescent="0.25">
      <c r="A26" s="23">
        <v>23</v>
      </c>
      <c r="B26" s="23">
        <v>237</v>
      </c>
      <c r="C26" s="51" t="s">
        <v>30</v>
      </c>
      <c r="D26" s="23">
        <f>VLOOKUP($M26,Data_Anual!$A:$E,5,0)</f>
        <v>9626</v>
      </c>
      <c r="E26" s="23">
        <f>VLOOKUP($M26,Data_Anual!$A:$G,6,0)</f>
        <v>16019</v>
      </c>
      <c r="F26" s="54">
        <f>VLOOKUP($M26,Data_Anual!$A:$G,7,0)</f>
        <v>0.60091141769149137</v>
      </c>
      <c r="G26" s="15"/>
      <c r="H26" s="15"/>
      <c r="I26" s="21"/>
      <c r="J26" s="40"/>
      <c r="K26" s="15"/>
      <c r="L26" s="15"/>
      <c r="M26" s="17" t="str">
        <f t="shared" si="0"/>
        <v>237Marzo2025</v>
      </c>
    </row>
    <row r="27" spans="1:20" hidden="1" x14ac:dyDescent="0.25">
      <c r="A27" s="63">
        <v>24</v>
      </c>
      <c r="B27" s="63"/>
      <c r="C27" s="67"/>
      <c r="D27" s="63"/>
      <c r="E27" s="63"/>
      <c r="F27" s="64"/>
      <c r="G27" s="15"/>
      <c r="H27" s="15"/>
      <c r="I27" s="21"/>
      <c r="J27" s="40"/>
      <c r="K27" s="15"/>
      <c r="L27" s="15"/>
    </row>
    <row r="28" spans="1:20" s="39" customFormat="1" x14ac:dyDescent="0.25">
      <c r="A28" s="78" t="s">
        <v>35</v>
      </c>
      <c r="B28" s="78"/>
      <c r="C28" s="78"/>
      <c r="D28" s="34">
        <f>SUM(D4:D23)</f>
        <v>131676</v>
      </c>
      <c r="E28" s="34">
        <f>SUM(E4:E23)</f>
        <v>153399</v>
      </c>
      <c r="F28" s="55">
        <f t="shared" ref="F28" si="1">D28/E28</f>
        <v>0.85838890735923967</v>
      </c>
      <c r="G28" s="36"/>
      <c r="H28" s="36"/>
      <c r="I28" s="37"/>
      <c r="J28" s="38"/>
      <c r="K28" s="38"/>
      <c r="L28" s="38"/>
    </row>
    <row r="29" spans="1:20" x14ac:dyDescent="0.25">
      <c r="A29" s="15"/>
      <c r="B29" s="19"/>
      <c r="C29" s="19"/>
      <c r="D29" s="19"/>
      <c r="E29" s="19"/>
      <c r="F29" s="20"/>
      <c r="G29" s="15"/>
      <c r="H29" s="15"/>
      <c r="I29" s="15"/>
      <c r="J29" s="15"/>
      <c r="K29" s="15"/>
      <c r="L29" s="15"/>
    </row>
    <row r="30" spans="1:20" x14ac:dyDescent="0.25">
      <c r="A30" s="15" t="s">
        <v>70</v>
      </c>
      <c r="B30" s="19"/>
      <c r="C30" s="19"/>
      <c r="D30" s="19"/>
      <c r="E30" s="19"/>
      <c r="F30" s="20"/>
      <c r="G30" s="15"/>
      <c r="H30" s="15"/>
      <c r="I30" s="15"/>
      <c r="J30" s="15"/>
      <c r="K30" s="15"/>
      <c r="L30" s="15"/>
    </row>
    <row r="31" spans="1:20" x14ac:dyDescent="0.25">
      <c r="A31" s="15"/>
      <c r="B31" s="19"/>
      <c r="C31" s="19"/>
      <c r="D31" s="40"/>
      <c r="E31" s="40"/>
      <c r="F31" s="20"/>
      <c r="G31" s="15"/>
      <c r="H31" s="15"/>
      <c r="I31" s="15"/>
      <c r="J31" s="15"/>
      <c r="K31" s="15"/>
      <c r="L31" s="15"/>
    </row>
    <row r="32" spans="1:20" x14ac:dyDescent="0.25">
      <c r="A32" s="15"/>
      <c r="B32" s="19"/>
      <c r="C32" s="19"/>
      <c r="D32" s="19"/>
      <c r="E32" s="19"/>
      <c r="F32" s="20"/>
      <c r="G32" s="15"/>
      <c r="H32" s="15"/>
      <c r="I32" s="15"/>
      <c r="J32" s="15"/>
      <c r="K32" s="15"/>
      <c r="L32" s="15"/>
    </row>
    <row r="33" spans="1:12" x14ac:dyDescent="0.25">
      <c r="A33" s="15"/>
      <c r="B33" s="19"/>
      <c r="C33" s="19"/>
      <c r="D33" s="19"/>
      <c r="E33" s="19"/>
      <c r="F33" s="20"/>
      <c r="G33" s="15"/>
      <c r="H33" s="15"/>
      <c r="I33" s="15"/>
      <c r="J33" s="15"/>
      <c r="K33" s="15"/>
      <c r="L33" s="15"/>
    </row>
    <row r="34" spans="1:12" x14ac:dyDescent="0.25">
      <c r="A34" s="15"/>
      <c r="B34" s="19"/>
      <c r="C34" s="19"/>
      <c r="D34" s="19"/>
      <c r="E34" s="19"/>
      <c r="F34" s="20"/>
      <c r="G34" s="15"/>
      <c r="H34" s="15"/>
      <c r="I34" s="15"/>
      <c r="J34" s="15"/>
      <c r="K34" s="15"/>
      <c r="L34" s="15"/>
    </row>
    <row r="35" spans="1:12" x14ac:dyDescent="0.25">
      <c r="A35" s="15"/>
      <c r="B35" s="19"/>
      <c r="C35" s="19"/>
      <c r="D35" s="19"/>
      <c r="E35" s="19"/>
      <c r="F35" s="20"/>
      <c r="G35" s="15"/>
      <c r="H35" s="15"/>
      <c r="I35" s="15"/>
      <c r="J35" s="15"/>
      <c r="K35" s="15"/>
      <c r="L35" s="15"/>
    </row>
  </sheetData>
  <sortState xmlns:xlrd2="http://schemas.microsoft.com/office/spreadsheetml/2017/richdata2" ref="B4:F26">
    <sortCondition descending="1" ref="F4:F26"/>
  </sortState>
  <mergeCells count="2">
    <mergeCell ref="A1:F1"/>
    <mergeCell ref="A28:C28"/>
  </mergeCells>
  <conditionalFormatting sqref="F4:F27">
    <cfRule type="cellIs" dxfId="11" priority="5" operator="between">
      <formula>0.75</formula>
      <formula>1</formula>
    </cfRule>
    <cfRule type="cellIs" dxfId="10" priority="6" operator="between">
      <formula>0.6</formula>
      <formula>0.7499</formula>
    </cfRule>
    <cfRule type="cellIs" dxfId="9" priority="7" operator="between">
      <formula>0.25</formula>
      <formula>0.599</formula>
    </cfRule>
    <cfRule type="cellIs" dxfId="8" priority="8" operator="between">
      <formula>0</formula>
      <formula>0.24</formula>
    </cfRule>
  </conditionalFormatting>
  <conditionalFormatting sqref="F28">
    <cfRule type="cellIs" dxfId="7" priority="1" operator="between">
      <formula>0.75</formula>
      <formula>1</formula>
    </cfRule>
    <cfRule type="cellIs" dxfId="6" priority="2" operator="between">
      <formula>0.6</formula>
      <formula>0.7499</formula>
    </cfRule>
    <cfRule type="cellIs" dxfId="5" priority="3" operator="between">
      <formula>0.25</formula>
      <formula>0.59</formula>
    </cfRule>
    <cfRule type="cellIs" dxfId="4" priority="4" operator="between">
      <formula>0</formula>
      <formula>0.24</formula>
    </cfRule>
  </conditionalFormatting>
  <pageMargins left="0.75" right="0.75" top="1" bottom="1" header="0.5" footer="0.5"/>
  <pageSetup paperSize="9" scale="80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5" r:id="rId4" name="CommandButton2">
          <controlPr defaultSize="0" autoLine="0" autoPict="0" r:id="rId5">
            <anchor moveWithCells="1" sizeWithCells="1">
              <from>
                <xdr:col>9</xdr:col>
                <xdr:colOff>68580</xdr:colOff>
                <xdr:row>0</xdr:row>
                <xdr:rowOff>68580</xdr:rowOff>
              </from>
              <to>
                <xdr:col>10</xdr:col>
                <xdr:colOff>495300</xdr:colOff>
                <xdr:row>1</xdr:row>
                <xdr:rowOff>144780</xdr:rowOff>
              </to>
            </anchor>
          </controlPr>
        </control>
      </mc:Choice>
      <mc:Fallback>
        <control shapeId="1025" r:id="rId4" name="CommandButton2"/>
      </mc:Fallback>
    </mc:AlternateContent>
    <mc:AlternateContent xmlns:mc="http://schemas.openxmlformats.org/markup-compatibility/2006">
      <mc:Choice Requires="x14">
        <control shapeId="1026" r:id="rId6" name="Drop Down 2">
          <controlPr defaultSize="0" autoLine="0" autoPict="0" macro="[0]!Ordenar_Acumulado">
            <anchor moveWithCells="1">
              <from>
                <xdr:col>13</xdr:col>
                <xdr:colOff>114300</xdr:colOff>
                <xdr:row>2</xdr:row>
                <xdr:rowOff>266700</xdr:rowOff>
              </from>
              <to>
                <xdr:col>15</xdr:col>
                <xdr:colOff>22860</xdr:colOff>
                <xdr:row>3</xdr:row>
                <xdr:rowOff>68580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9CB46-A413-4E3A-B6EF-513785A4FC87}">
  <sheetPr codeName="Hoja5"/>
  <dimension ref="A1:P36"/>
  <sheetViews>
    <sheetView zoomScale="60" zoomScaleNormal="60" workbookViewId="0">
      <selection activeCell="F4" sqref="F4"/>
    </sheetView>
  </sheetViews>
  <sheetFormatPr baseColWidth="10" defaultColWidth="10.88671875" defaultRowHeight="15" x14ac:dyDescent="0.25"/>
  <cols>
    <col min="1" max="1" width="8.109375" style="17" customWidth="1"/>
    <col min="2" max="2" width="10.44140625" style="18" customWidth="1"/>
    <col min="3" max="3" width="38.5546875" style="18" customWidth="1"/>
    <col min="4" max="4" width="20.5546875" style="18" customWidth="1"/>
    <col min="5" max="5" width="11.88671875" style="18" customWidth="1"/>
    <col min="6" max="6" width="15.33203125" style="41" customWidth="1"/>
    <col min="7" max="7" width="4.88671875" style="17" customWidth="1"/>
    <col min="8" max="8" width="13.77734375" style="17" bestFit="1" customWidth="1"/>
    <col min="9" max="9" width="8.44140625" style="17" bestFit="1" customWidth="1"/>
    <col min="10" max="12" width="10.88671875" style="17"/>
    <col min="13" max="13" width="12.88671875" style="17" bestFit="1" customWidth="1"/>
    <col min="14" max="16384" width="10.88671875" style="17"/>
  </cols>
  <sheetData>
    <row r="1" spans="1:16" ht="20.399999999999999" x14ac:dyDescent="0.35">
      <c r="A1" s="79" t="str">
        <f>"Oportunidad de Digitación SIS - Mes de "&amp; N1&amp;" "&amp; O1</f>
        <v>Oportunidad de Digitación SIS - Mes de Marzo 2025</v>
      </c>
      <c r="B1" s="79"/>
      <c r="C1" s="79"/>
      <c r="D1" s="79"/>
      <c r="E1" s="79"/>
      <c r="F1" s="79"/>
      <c r="G1" s="13"/>
      <c r="H1" s="13"/>
      <c r="I1" s="14"/>
      <c r="J1" s="15"/>
      <c r="K1" s="15"/>
      <c r="L1" s="15"/>
      <c r="M1" s="16">
        <v>3</v>
      </c>
      <c r="N1" s="16" t="str">
        <f>VLOOKUP(M1,Tablas!D2:E13,2,0)</f>
        <v>Marzo</v>
      </c>
      <c r="O1" s="16">
        <v>2025</v>
      </c>
      <c r="P1" s="15"/>
    </row>
    <row r="2" spans="1:16" x14ac:dyDescent="0.25">
      <c r="A2" s="15"/>
      <c r="C2" s="19"/>
      <c r="D2" s="19"/>
      <c r="E2" s="19"/>
      <c r="F2" s="20"/>
      <c r="G2" s="15"/>
      <c r="H2" s="15"/>
      <c r="I2" s="21"/>
      <c r="J2" s="15"/>
      <c r="K2" s="15"/>
      <c r="L2" s="15"/>
      <c r="M2" s="15"/>
      <c r="N2" s="15"/>
      <c r="O2" s="15"/>
      <c r="P2" s="15"/>
    </row>
    <row r="3" spans="1:16" ht="75" x14ac:dyDescent="0.25">
      <c r="A3" s="22" t="s">
        <v>0</v>
      </c>
      <c r="B3" s="22" t="s">
        <v>1</v>
      </c>
      <c r="C3" s="22" t="s">
        <v>2</v>
      </c>
      <c r="D3" s="22" t="s">
        <v>3</v>
      </c>
      <c r="E3" s="22" t="s">
        <v>4</v>
      </c>
      <c r="F3" s="22" t="s">
        <v>5</v>
      </c>
      <c r="G3" s="15"/>
      <c r="H3" s="15"/>
      <c r="I3" s="21"/>
      <c r="J3" s="15"/>
      <c r="K3" s="15"/>
      <c r="L3" s="15"/>
      <c r="M3" s="15"/>
      <c r="N3" s="15"/>
      <c r="O3" s="15"/>
      <c r="P3" s="15"/>
    </row>
    <row r="4" spans="1:16" x14ac:dyDescent="0.25">
      <c r="A4" s="23">
        <v>1</v>
      </c>
      <c r="B4" s="23">
        <v>239</v>
      </c>
      <c r="C4" s="24" t="s">
        <v>31</v>
      </c>
      <c r="D4" s="23">
        <f>VLOOKUP($M4,Data_Mensual!$A:$E,5,0)</f>
        <v>3398</v>
      </c>
      <c r="E4" s="23">
        <f>VLOOKUP($M4,Data_Mensual!$A:$G,6,0)</f>
        <v>3494</v>
      </c>
      <c r="F4" s="25">
        <f>VLOOKUP($M4,Data_Mensual!$A:$G,7,0)</f>
        <v>0.97252432741843164</v>
      </c>
      <c r="G4" s="15"/>
      <c r="H4" s="15"/>
      <c r="I4" s="21"/>
      <c r="J4" s="15"/>
      <c r="K4" s="15"/>
      <c r="L4" s="15"/>
      <c r="M4" s="15" t="str">
        <f>B4&amp;$N$1&amp;$O$1</f>
        <v>239Marzo2025</v>
      </c>
      <c r="N4" s="15"/>
      <c r="O4" s="15"/>
      <c r="P4" s="15"/>
    </row>
    <row r="5" spans="1:16" x14ac:dyDescent="0.25">
      <c r="A5" s="23">
        <v>2</v>
      </c>
      <c r="B5" s="23">
        <v>11117</v>
      </c>
      <c r="C5" s="24" t="s">
        <v>15</v>
      </c>
      <c r="D5" s="23">
        <f>VLOOKUP($M5,Data_Mensual!$A:$E,5,0)</f>
        <v>6105</v>
      </c>
      <c r="E5" s="23">
        <f>VLOOKUP($M5,Data_Mensual!$A:$G,6,0)</f>
        <v>6361</v>
      </c>
      <c r="F5" s="25">
        <f>VLOOKUP($M5,Data_Mensual!$A:$G,7,0)</f>
        <v>0.95975475554158152</v>
      </c>
      <c r="G5" s="15"/>
      <c r="H5" s="15"/>
      <c r="I5" s="26" t="s">
        <v>8</v>
      </c>
      <c r="J5" s="15"/>
      <c r="K5" s="15"/>
      <c r="L5" s="15"/>
      <c r="M5" s="15" t="str">
        <f t="shared" ref="M5:M26" si="0">B5&amp;$N$1&amp;$O$1</f>
        <v>11117Marzo2025</v>
      </c>
      <c r="N5" s="15"/>
      <c r="O5" s="15"/>
      <c r="P5" s="15"/>
    </row>
    <row r="6" spans="1:16" x14ac:dyDescent="0.25">
      <c r="A6" s="23">
        <v>3</v>
      </c>
      <c r="B6" s="23">
        <v>11882</v>
      </c>
      <c r="C6" s="24" t="s">
        <v>22</v>
      </c>
      <c r="D6" s="23">
        <f>VLOOKUP($M6,Data_Mensual!$A:$E,5,0)</f>
        <v>823</v>
      </c>
      <c r="E6" s="23">
        <f>VLOOKUP($M6,Data_Mensual!$A:$G,6,0)</f>
        <v>860</v>
      </c>
      <c r="F6" s="25">
        <f>VLOOKUP($M6,Data_Mensual!$A:$G,7,0)</f>
        <v>0.9569767441860465</v>
      </c>
      <c r="G6" s="15"/>
      <c r="H6" s="27" t="s">
        <v>10</v>
      </c>
      <c r="I6" s="28" t="s">
        <v>11</v>
      </c>
      <c r="J6" s="15"/>
      <c r="K6" s="15"/>
      <c r="L6" s="15"/>
      <c r="M6" s="15" t="str">
        <f t="shared" si="0"/>
        <v>11882Marzo2025</v>
      </c>
      <c r="N6" s="15"/>
      <c r="O6" s="15"/>
      <c r="P6" s="15"/>
    </row>
    <row r="7" spans="1:16" x14ac:dyDescent="0.25">
      <c r="A7" s="23">
        <v>4</v>
      </c>
      <c r="B7" s="23" t="s">
        <v>69</v>
      </c>
      <c r="C7" s="24" t="s">
        <v>65</v>
      </c>
      <c r="D7" s="23">
        <f>VLOOKUP($M8,Data_Mensual!$A:$E,5,0)</f>
        <v>1312</v>
      </c>
      <c r="E7" s="23">
        <f>VLOOKUP($M8,Data_Mensual!$A:$G,6,0)</f>
        <v>1385</v>
      </c>
      <c r="F7" s="25">
        <f>VLOOKUP($M7,Data_Mensual!$A:$G,7,0)</f>
        <v>0.95688456189151594</v>
      </c>
      <c r="G7" s="15"/>
      <c r="H7" s="27" t="s">
        <v>13</v>
      </c>
      <c r="I7" s="29" t="s">
        <v>14</v>
      </c>
      <c r="J7" s="15"/>
      <c r="K7" s="15"/>
      <c r="L7" s="15"/>
      <c r="M7" s="15" t="str">
        <f t="shared" si="0"/>
        <v>12165Marzo2025</v>
      </c>
      <c r="N7" s="15"/>
      <c r="O7" s="15"/>
      <c r="P7" s="15"/>
    </row>
    <row r="8" spans="1:16" x14ac:dyDescent="0.25">
      <c r="A8" s="23">
        <v>5</v>
      </c>
      <c r="B8" s="23">
        <v>10904</v>
      </c>
      <c r="C8" s="24" t="s">
        <v>28</v>
      </c>
      <c r="D8" s="23">
        <f>VLOOKUP($M8,Data_Mensual!$A:$E,5,0)</f>
        <v>1312</v>
      </c>
      <c r="E8" s="23">
        <f>VLOOKUP($M8,Data_Mensual!$A:$G,6,0)</f>
        <v>1385</v>
      </c>
      <c r="F8" s="25">
        <f>VLOOKUP($M8,Data_Mensual!$A:$G,7,0)</f>
        <v>0.94729241877256321</v>
      </c>
      <c r="G8" s="15"/>
      <c r="H8" s="27" t="s">
        <v>16</v>
      </c>
      <c r="I8" s="30" t="s">
        <v>17</v>
      </c>
      <c r="J8" s="15"/>
      <c r="K8" s="15"/>
      <c r="L8" s="15"/>
      <c r="M8" s="15" t="str">
        <f t="shared" si="0"/>
        <v>10904Marzo2025</v>
      </c>
      <c r="N8" s="15"/>
      <c r="O8" s="15"/>
      <c r="P8" s="15"/>
    </row>
    <row r="9" spans="1:16" x14ac:dyDescent="0.25">
      <c r="A9" s="23">
        <v>6</v>
      </c>
      <c r="B9" s="23">
        <v>235</v>
      </c>
      <c r="C9" s="24" t="s">
        <v>32</v>
      </c>
      <c r="D9" s="23">
        <f>VLOOKUP($M9,Data_Mensual!$A:$E,5,0)</f>
        <v>2002</v>
      </c>
      <c r="E9" s="23">
        <f>VLOOKUP($M9,Data_Mensual!$A:$G,6,0)</f>
        <v>2126</v>
      </c>
      <c r="F9" s="25">
        <f>VLOOKUP($M9,Data_Mensual!$A:$G,7,0)</f>
        <v>0.94167450611476955</v>
      </c>
      <c r="G9" s="15"/>
      <c r="H9" s="27" t="s">
        <v>19</v>
      </c>
      <c r="I9" s="31" t="s">
        <v>20</v>
      </c>
      <c r="J9" s="15"/>
      <c r="K9" s="15"/>
      <c r="L9" s="15"/>
      <c r="M9" s="15" t="str">
        <f t="shared" si="0"/>
        <v>235Marzo2025</v>
      </c>
      <c r="N9" s="15"/>
      <c r="O9" s="15"/>
      <c r="P9" s="15"/>
    </row>
    <row r="10" spans="1:16" x14ac:dyDescent="0.25">
      <c r="A10" s="23">
        <v>7</v>
      </c>
      <c r="B10" s="23">
        <v>11799</v>
      </c>
      <c r="C10" s="24" t="s">
        <v>21</v>
      </c>
      <c r="D10" s="23">
        <f>VLOOKUP($M10,Data_Mensual!$A:$E,5,0)</f>
        <v>1366</v>
      </c>
      <c r="E10" s="23">
        <f>VLOOKUP($M10,Data_Mensual!$A:$G,6,0)</f>
        <v>1452</v>
      </c>
      <c r="F10" s="25">
        <f>VLOOKUP($M10,Data_Mensual!$A:$G,7,0)</f>
        <v>0.94077134986225897</v>
      </c>
      <c r="G10" s="15"/>
      <c r="H10" s="15"/>
      <c r="I10" s="21"/>
      <c r="J10" s="15"/>
      <c r="K10" s="15"/>
      <c r="L10" s="15"/>
      <c r="M10" s="15" t="str">
        <f t="shared" si="0"/>
        <v>11799Marzo2025</v>
      </c>
      <c r="N10" s="15"/>
      <c r="O10" s="15"/>
      <c r="P10" s="15"/>
    </row>
    <row r="11" spans="1:16" x14ac:dyDescent="0.25">
      <c r="A11" s="23">
        <v>8</v>
      </c>
      <c r="B11" s="23" t="s">
        <v>67</v>
      </c>
      <c r="C11" s="24" t="s">
        <v>66</v>
      </c>
      <c r="D11" s="23">
        <f>VLOOKUP($M12,Data_Mensual!$A:$E,5,0)</f>
        <v>2705</v>
      </c>
      <c r="E11" s="23">
        <f>VLOOKUP($M12,Data_Mensual!$A:$G,6,0)</f>
        <v>2911</v>
      </c>
      <c r="F11" s="25">
        <f>VLOOKUP($M11,Data_Mensual!$A:$G,7,0)</f>
        <v>0.93255982596084119</v>
      </c>
      <c r="G11" s="15"/>
      <c r="H11" s="15"/>
      <c r="I11" s="21"/>
      <c r="J11" s="15"/>
      <c r="K11" s="15"/>
      <c r="L11" s="15"/>
      <c r="M11" s="15" t="str">
        <f t="shared" si="0"/>
        <v>12163Marzo2025</v>
      </c>
      <c r="N11" s="15"/>
      <c r="O11" s="15"/>
      <c r="P11" s="15"/>
    </row>
    <row r="12" spans="1:16" x14ac:dyDescent="0.25">
      <c r="A12" s="23">
        <v>9</v>
      </c>
      <c r="B12" s="23">
        <v>240</v>
      </c>
      <c r="C12" s="24" t="s">
        <v>23</v>
      </c>
      <c r="D12" s="23">
        <f>VLOOKUP($M12,Data_Mensual!$A:$E,5,0)</f>
        <v>2705</v>
      </c>
      <c r="E12" s="23">
        <f>VLOOKUP($M12,Data_Mensual!$A:$G,6,0)</f>
        <v>2911</v>
      </c>
      <c r="F12" s="25">
        <f>VLOOKUP($M12,Data_Mensual!$A:$G,7,0)</f>
        <v>0.92923394022672623</v>
      </c>
      <c r="G12" s="15"/>
      <c r="H12" s="15"/>
      <c r="I12" s="21"/>
      <c r="J12" s="32"/>
      <c r="K12" s="15"/>
      <c r="L12" s="15"/>
      <c r="M12" s="15" t="str">
        <f t="shared" si="0"/>
        <v>240Marzo2025</v>
      </c>
      <c r="N12" s="15"/>
      <c r="O12" s="15"/>
      <c r="P12" s="15"/>
    </row>
    <row r="13" spans="1:16" x14ac:dyDescent="0.25">
      <c r="A13" s="23">
        <v>10</v>
      </c>
      <c r="B13" s="23">
        <v>241</v>
      </c>
      <c r="C13" s="24" t="s">
        <v>29</v>
      </c>
      <c r="D13" s="23">
        <f>VLOOKUP($M13,Data_Mensual!$A:$E,5,0)</f>
        <v>1072</v>
      </c>
      <c r="E13" s="23">
        <f>VLOOKUP($M13,Data_Mensual!$A:$G,6,0)</f>
        <v>1175</v>
      </c>
      <c r="F13" s="25">
        <f>VLOOKUP($M13,Data_Mensual!$A:$G,7,0)</f>
        <v>0.91234042553191486</v>
      </c>
      <c r="G13" s="15"/>
      <c r="H13" s="15"/>
      <c r="I13" s="21"/>
      <c r="J13" s="15"/>
      <c r="K13" s="15"/>
      <c r="L13" s="15"/>
      <c r="M13" s="15" t="str">
        <f t="shared" si="0"/>
        <v>241Marzo2025</v>
      </c>
      <c r="N13" s="15"/>
      <c r="O13" s="15"/>
      <c r="P13" s="15"/>
    </row>
    <row r="14" spans="1:16" x14ac:dyDescent="0.25">
      <c r="A14" s="23">
        <v>11</v>
      </c>
      <c r="B14" s="23">
        <v>236</v>
      </c>
      <c r="C14" s="24" t="s">
        <v>25</v>
      </c>
      <c r="D14" s="23">
        <f>VLOOKUP($M14,Data_Mensual!$A:$E,5,0)</f>
        <v>3300</v>
      </c>
      <c r="E14" s="23">
        <f>VLOOKUP($M14,Data_Mensual!$A:$G,6,0)</f>
        <v>3702</v>
      </c>
      <c r="F14" s="25">
        <f>VLOOKUP($M14,Data_Mensual!$A:$G,7,0)</f>
        <v>0.89141004862236628</v>
      </c>
      <c r="G14" s="15"/>
      <c r="H14" s="15"/>
      <c r="I14" s="21"/>
      <c r="J14" s="15"/>
      <c r="K14" s="15"/>
      <c r="L14" s="15"/>
      <c r="M14" s="15" t="str">
        <f t="shared" si="0"/>
        <v>236Marzo2025</v>
      </c>
      <c r="N14" s="15"/>
      <c r="O14" s="15"/>
      <c r="P14" s="15"/>
    </row>
    <row r="15" spans="1:16" x14ac:dyDescent="0.25">
      <c r="A15" s="23">
        <v>12</v>
      </c>
      <c r="B15" s="23">
        <v>11116</v>
      </c>
      <c r="C15" s="51" t="s">
        <v>27</v>
      </c>
      <c r="D15" s="23">
        <f>VLOOKUP($M15,Data_Mensual!$A:$E,5,0)</f>
        <v>7567</v>
      </c>
      <c r="E15" s="23">
        <f>VLOOKUP($M15,Data_Mensual!$A:$G,6,0)</f>
        <v>8551</v>
      </c>
      <c r="F15" s="25">
        <f>VLOOKUP($M15,Data_Mensual!$A:$G,7,0)</f>
        <v>0.88492573967956967</v>
      </c>
      <c r="G15" s="15"/>
      <c r="H15" s="15"/>
      <c r="I15" s="21"/>
      <c r="J15" s="15"/>
      <c r="K15" s="15"/>
      <c r="L15" s="15"/>
      <c r="M15" s="15" t="str">
        <f t="shared" si="0"/>
        <v>11116Marzo2025</v>
      </c>
      <c r="N15" s="15"/>
      <c r="O15" s="15"/>
      <c r="P15" s="15"/>
    </row>
    <row r="16" spans="1:16" x14ac:dyDescent="0.25">
      <c r="A16" s="23">
        <v>13</v>
      </c>
      <c r="B16" s="23">
        <v>238</v>
      </c>
      <c r="C16" s="24" t="s">
        <v>34</v>
      </c>
      <c r="D16" s="23">
        <f>VLOOKUP($M16,Data_Mensual!$A:$E,5,0)</f>
        <v>1724</v>
      </c>
      <c r="E16" s="23">
        <f>VLOOKUP($M16,Data_Mensual!$A:$G,6,0)</f>
        <v>1968</v>
      </c>
      <c r="F16" s="25">
        <f>VLOOKUP($M16,Data_Mensual!$A:$G,7,0)</f>
        <v>0.87601626016260159</v>
      </c>
      <c r="G16" s="15"/>
      <c r="H16" s="15"/>
      <c r="I16" s="21"/>
      <c r="J16" s="15"/>
      <c r="K16" s="15"/>
      <c r="L16" s="15"/>
      <c r="M16" s="15" t="str">
        <f t="shared" si="0"/>
        <v>238Marzo2025</v>
      </c>
      <c r="N16" s="15"/>
      <c r="O16" s="15"/>
      <c r="P16" s="15"/>
    </row>
    <row r="17" spans="1:16" x14ac:dyDescent="0.25">
      <c r="A17" s="23">
        <v>14</v>
      </c>
      <c r="B17" s="23">
        <v>242</v>
      </c>
      <c r="C17" s="24" t="s">
        <v>7</v>
      </c>
      <c r="D17" s="23">
        <f>VLOOKUP($M17,Data_Mensual!$A:$E,5,0)</f>
        <v>1564</v>
      </c>
      <c r="E17" s="23">
        <f>VLOOKUP($M17,Data_Mensual!$A:$G,6,0)</f>
        <v>1810</v>
      </c>
      <c r="F17" s="25">
        <f>VLOOKUP($M17,Data_Mensual!$A:$G,7,0)</f>
        <v>0.8640883977900552</v>
      </c>
      <c r="G17" s="15"/>
      <c r="H17" s="15"/>
      <c r="I17" s="21"/>
      <c r="J17" s="15"/>
      <c r="K17" s="15"/>
      <c r="L17" s="15"/>
      <c r="M17" s="15" t="str">
        <f t="shared" si="0"/>
        <v>242Marzo2025</v>
      </c>
      <c r="N17" s="15"/>
      <c r="O17" s="15"/>
      <c r="P17" s="15"/>
    </row>
    <row r="18" spans="1:16" x14ac:dyDescent="0.25">
      <c r="A18" s="23">
        <v>15</v>
      </c>
      <c r="B18" s="23">
        <v>11931</v>
      </c>
      <c r="C18" s="24" t="s">
        <v>26</v>
      </c>
      <c r="D18" s="23">
        <f>VLOOKUP($M18,Data_Mensual!$A:$E,5,0)</f>
        <v>1810</v>
      </c>
      <c r="E18" s="23">
        <f>VLOOKUP($M18,Data_Mensual!$A:$G,6,0)</f>
        <v>2098</v>
      </c>
      <c r="F18" s="25">
        <f>VLOOKUP($M18,Data_Mensual!$A:$G,7,0)</f>
        <v>0.86272640610104867</v>
      </c>
      <c r="G18" s="15"/>
      <c r="H18" s="15"/>
      <c r="I18" s="21"/>
      <c r="J18" s="15"/>
      <c r="K18" s="15"/>
      <c r="L18" s="15"/>
      <c r="M18" s="15" t="str">
        <f t="shared" si="0"/>
        <v>11931Marzo2025</v>
      </c>
      <c r="N18" s="15"/>
      <c r="O18" s="15"/>
      <c r="P18" s="15"/>
    </row>
    <row r="19" spans="1:16" x14ac:dyDescent="0.25">
      <c r="A19" s="23">
        <v>16</v>
      </c>
      <c r="B19" s="23">
        <v>10951</v>
      </c>
      <c r="C19" s="24" t="s">
        <v>24</v>
      </c>
      <c r="D19" s="23">
        <f>VLOOKUP($M19,Data_Mensual!$A:$E,5,0)</f>
        <v>786</v>
      </c>
      <c r="E19" s="23">
        <f>VLOOKUP($M19,Data_Mensual!$A:$G,6,0)</f>
        <v>926</v>
      </c>
      <c r="F19" s="25">
        <f>VLOOKUP($M19,Data_Mensual!$A:$G,7,0)</f>
        <v>0.84881209503239741</v>
      </c>
      <c r="G19" s="15"/>
      <c r="H19" s="15"/>
      <c r="I19" s="21"/>
      <c r="J19" s="15"/>
      <c r="K19" s="15"/>
      <c r="L19" s="15"/>
      <c r="M19" s="15" t="str">
        <f t="shared" si="0"/>
        <v>10951Marzo2025</v>
      </c>
      <c r="N19" s="15"/>
      <c r="O19" s="15"/>
      <c r="P19" s="15"/>
    </row>
    <row r="20" spans="1:16" x14ac:dyDescent="0.25">
      <c r="A20" s="23">
        <v>17</v>
      </c>
      <c r="B20" s="23">
        <v>237</v>
      </c>
      <c r="C20" s="24" t="s">
        <v>30</v>
      </c>
      <c r="D20" s="23">
        <f>VLOOKUP($M21,Data_Mensual!$A:$E,5,0)</f>
        <v>2561</v>
      </c>
      <c r="E20" s="23">
        <f>VLOOKUP($M21,Data_Mensual!$A:$G,6,0)</f>
        <v>3531</v>
      </c>
      <c r="F20" s="25">
        <f>VLOOKUP($M20,Data_Mensual!$A:$G,7,0)</f>
        <v>0.80139303482587065</v>
      </c>
      <c r="G20" s="15"/>
      <c r="H20" s="15"/>
      <c r="I20" s="21"/>
      <c r="J20" s="15"/>
      <c r="K20" s="15"/>
      <c r="L20" s="15"/>
      <c r="M20" s="15" t="str">
        <f t="shared" si="0"/>
        <v>237Marzo2025</v>
      </c>
      <c r="N20" s="15"/>
      <c r="O20" s="15"/>
      <c r="P20" s="15"/>
    </row>
    <row r="21" spans="1:16" x14ac:dyDescent="0.25">
      <c r="A21" s="23">
        <v>18</v>
      </c>
      <c r="B21" s="23">
        <v>243</v>
      </c>
      <c r="C21" s="24" t="s">
        <v>33</v>
      </c>
      <c r="D21" s="23">
        <f>VLOOKUP($M21,Data_Mensual!$A:$E,5,0)</f>
        <v>2561</v>
      </c>
      <c r="E21" s="23">
        <f>VLOOKUP($M21,Data_Mensual!$A:$G,6,0)</f>
        <v>3531</v>
      </c>
      <c r="F21" s="25">
        <f>VLOOKUP($M21,Data_Mensual!$A:$G,7,0)</f>
        <v>0.72529028603794954</v>
      </c>
      <c r="G21" s="15"/>
      <c r="H21" s="15"/>
      <c r="I21" s="21"/>
      <c r="J21" s="15"/>
      <c r="K21" s="15"/>
      <c r="L21" s="33"/>
      <c r="M21" s="15" t="str">
        <f t="shared" si="0"/>
        <v>243Marzo2025</v>
      </c>
      <c r="N21" s="15"/>
      <c r="O21" s="15"/>
      <c r="P21" s="15"/>
    </row>
    <row r="22" spans="1:16" x14ac:dyDescent="0.25">
      <c r="A22" s="23">
        <v>19</v>
      </c>
      <c r="B22" s="23" t="s">
        <v>68</v>
      </c>
      <c r="C22" s="24" t="s">
        <v>64</v>
      </c>
      <c r="D22" s="23">
        <f>VLOOKUP($M23,Data_Mensual!$A:$E,5,0)</f>
        <v>1096</v>
      </c>
      <c r="E22" s="23">
        <f>VLOOKUP($M23,Data_Mensual!$A:$G,6,0)</f>
        <v>2117</v>
      </c>
      <c r="F22" s="25">
        <f>VLOOKUP($M22,Data_Mensual!$A:$G,7,0)</f>
        <v>0.66743471582181257</v>
      </c>
      <c r="G22" s="15"/>
      <c r="H22" s="15"/>
      <c r="I22" s="21"/>
      <c r="J22" s="15"/>
      <c r="K22" s="15"/>
      <c r="L22" s="15"/>
      <c r="M22" s="15" t="str">
        <f t="shared" si="0"/>
        <v>12166Marzo2025</v>
      </c>
      <c r="N22" s="15"/>
      <c r="O22" s="15"/>
      <c r="P22" s="15"/>
    </row>
    <row r="23" spans="1:16" x14ac:dyDescent="0.25">
      <c r="A23" s="23">
        <v>20</v>
      </c>
      <c r="B23" s="23">
        <v>1557</v>
      </c>
      <c r="C23" s="51" t="s">
        <v>12</v>
      </c>
      <c r="D23" s="23">
        <f>VLOOKUP($M23,Data_Mensual!$A:$E,5,0)</f>
        <v>1096</v>
      </c>
      <c r="E23" s="23">
        <f>VLOOKUP($M23,Data_Mensual!$A:$G,6,0)</f>
        <v>2117</v>
      </c>
      <c r="F23" s="25">
        <f>VLOOKUP($M23,Data_Mensual!$A:$G,7,0)</f>
        <v>0.51771374586679264</v>
      </c>
      <c r="G23" s="15"/>
      <c r="H23" s="15"/>
      <c r="I23" s="21"/>
      <c r="J23" s="15"/>
      <c r="K23" s="15"/>
      <c r="L23" s="15"/>
      <c r="M23" s="15" t="str">
        <f t="shared" si="0"/>
        <v>1557Marzo2025</v>
      </c>
      <c r="N23" s="15"/>
      <c r="O23" s="15"/>
      <c r="P23" s="15"/>
    </row>
    <row r="24" spans="1:16" x14ac:dyDescent="0.25">
      <c r="A24" s="23">
        <v>21</v>
      </c>
      <c r="B24" s="23">
        <v>234</v>
      </c>
      <c r="C24" s="24" t="s">
        <v>18</v>
      </c>
      <c r="D24" s="23">
        <f>VLOOKUP($M24,Data_Mensual!$A:$E,5,0)</f>
        <v>3029</v>
      </c>
      <c r="E24" s="23">
        <f>VLOOKUP($M24,Data_Mensual!$A:$G,6,0)</f>
        <v>6396</v>
      </c>
      <c r="F24" s="25">
        <f>VLOOKUP($M24,Data_Mensual!$A:$G,7,0)</f>
        <v>0.47357723577235772</v>
      </c>
      <c r="G24" s="15"/>
      <c r="H24" s="15"/>
      <c r="I24" s="21"/>
      <c r="J24" s="15"/>
      <c r="K24" s="15"/>
      <c r="L24" s="15"/>
      <c r="M24" s="15" t="str">
        <f t="shared" si="0"/>
        <v>234Marzo2025</v>
      </c>
      <c r="N24" s="15"/>
      <c r="O24" s="15"/>
      <c r="P24" s="15"/>
    </row>
    <row r="25" spans="1:16" x14ac:dyDescent="0.25">
      <c r="A25" s="23">
        <v>22</v>
      </c>
      <c r="B25" s="23">
        <v>28745</v>
      </c>
      <c r="C25" s="24" t="s">
        <v>6</v>
      </c>
      <c r="D25" s="23">
        <f>VLOOKUP($M25,Data_Mensual!$A:$E,5,0)</f>
        <v>509</v>
      </c>
      <c r="E25" s="23">
        <f>VLOOKUP($M25,Data_Mensual!$A:$G,6,0)</f>
        <v>1105</v>
      </c>
      <c r="F25" s="25">
        <f>VLOOKUP($M25,Data_Mensual!$A:$G,7,0)</f>
        <v>0.4606334841628959</v>
      </c>
      <c r="G25" s="15"/>
      <c r="H25" s="15"/>
      <c r="I25" s="21"/>
      <c r="J25" s="15"/>
      <c r="K25" s="15"/>
      <c r="L25" s="15"/>
      <c r="M25" s="15" t="str">
        <f t="shared" si="0"/>
        <v>28745Marzo2025</v>
      </c>
      <c r="N25" s="15"/>
      <c r="O25" s="15"/>
      <c r="P25" s="15"/>
    </row>
    <row r="26" spans="1:16" x14ac:dyDescent="0.25">
      <c r="A26" s="23">
        <v>23</v>
      </c>
      <c r="B26" s="23">
        <v>246</v>
      </c>
      <c r="C26" s="24" t="s">
        <v>9</v>
      </c>
      <c r="D26" s="23">
        <f>VLOOKUP($M26,Data_Mensual!$A:$E,5,0)</f>
        <v>181</v>
      </c>
      <c r="E26" s="23">
        <f>VLOOKUP($M26,Data_Mensual!$A:$G,6,0)</f>
        <v>1785</v>
      </c>
      <c r="F26" s="25">
        <f>VLOOKUP($M26,Data_Mensual!$A:$G,7,0)</f>
        <v>0.10140056022408964</v>
      </c>
      <c r="G26" s="15"/>
      <c r="H26" s="15"/>
      <c r="I26" s="21"/>
      <c r="J26" s="15"/>
      <c r="K26" s="15"/>
      <c r="L26" s="15"/>
      <c r="M26" s="15" t="str">
        <f t="shared" si="0"/>
        <v>246Marzo2025</v>
      </c>
      <c r="N26" s="15"/>
      <c r="O26" s="15"/>
      <c r="P26" s="15"/>
    </row>
    <row r="27" spans="1:16" hidden="1" x14ac:dyDescent="0.25">
      <c r="A27" s="63">
        <v>24</v>
      </c>
      <c r="B27" s="63"/>
      <c r="C27" s="73"/>
      <c r="D27" s="63"/>
      <c r="E27" s="63"/>
      <c r="F27" s="64"/>
      <c r="G27" s="15"/>
      <c r="H27" s="15"/>
      <c r="I27" s="21"/>
      <c r="J27" s="15"/>
      <c r="K27" s="15"/>
      <c r="L27" s="15"/>
      <c r="M27" s="15" t="str">
        <f>B26&amp;$N$1&amp;$O$1</f>
        <v>246Marzo2025</v>
      </c>
      <c r="N27" s="15"/>
      <c r="O27" s="15"/>
      <c r="P27" s="15"/>
    </row>
    <row r="28" spans="1:16" x14ac:dyDescent="0.25">
      <c r="A28" s="78" t="s">
        <v>35</v>
      </c>
      <c r="B28" s="78"/>
      <c r="C28" s="78"/>
      <c r="D28" s="34">
        <f>SUM(D4:D23)</f>
        <v>46865</v>
      </c>
      <c r="E28" s="34">
        <f>SUM(E4:E23)</f>
        <v>54411</v>
      </c>
      <c r="F28" s="35">
        <f t="shared" ref="F28" si="1">D28/E28</f>
        <v>0.86131480766756718</v>
      </c>
      <c r="G28" s="15"/>
      <c r="H28" s="15"/>
      <c r="I28" s="21"/>
      <c r="J28" s="15"/>
      <c r="K28" s="15"/>
      <c r="L28" s="15"/>
      <c r="N28" s="15"/>
      <c r="O28" s="15"/>
      <c r="P28" s="15"/>
    </row>
    <row r="29" spans="1:16" x14ac:dyDescent="0.25">
      <c r="A29" s="15"/>
      <c r="B29" s="19"/>
      <c r="C29" s="19"/>
      <c r="D29" s="19"/>
      <c r="E29" s="19"/>
      <c r="F29" s="20"/>
      <c r="G29" s="15"/>
      <c r="H29" s="15"/>
      <c r="I29" s="21"/>
      <c r="J29" s="15"/>
      <c r="K29" s="15"/>
      <c r="L29" s="15"/>
      <c r="N29" s="15"/>
      <c r="O29" s="15"/>
      <c r="P29" s="15"/>
    </row>
    <row r="30" spans="1:16" s="39" customFormat="1" x14ac:dyDescent="0.25">
      <c r="A30" s="15" t="s">
        <v>71</v>
      </c>
      <c r="B30" s="19"/>
      <c r="C30" s="19"/>
      <c r="D30" s="19"/>
      <c r="E30" s="19"/>
      <c r="F30" s="20"/>
      <c r="G30" s="36"/>
      <c r="H30" s="36"/>
      <c r="I30" s="37"/>
      <c r="J30" s="38"/>
      <c r="K30" s="38"/>
      <c r="L30" s="38"/>
      <c r="M30" s="38"/>
      <c r="N30" s="38"/>
      <c r="O30" s="38"/>
      <c r="P30" s="38"/>
    </row>
    <row r="31" spans="1:16" x14ac:dyDescent="0.25">
      <c r="A31" s="15"/>
      <c r="B31" s="19"/>
      <c r="C31" s="19"/>
      <c r="D31" s="40"/>
      <c r="E31" s="40"/>
      <c r="F31" s="20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pans="1:16" x14ac:dyDescent="0.25">
      <c r="A32" s="15"/>
      <c r="B32" s="19"/>
      <c r="C32" s="19"/>
      <c r="D32" s="19"/>
      <c r="E32" s="19"/>
      <c r="F32" s="20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3" spans="1:16" x14ac:dyDescent="0.25">
      <c r="A33" s="15"/>
      <c r="B33" s="19"/>
      <c r="C33" s="19"/>
      <c r="D33" s="19"/>
      <c r="E33" s="19"/>
      <c r="F33" s="20"/>
      <c r="G33" s="15"/>
      <c r="H33" s="15"/>
      <c r="I33" s="15"/>
      <c r="J33" s="15"/>
      <c r="K33" s="15"/>
      <c r="L33" s="15"/>
      <c r="M33" s="15"/>
      <c r="N33" s="15"/>
      <c r="O33" s="15"/>
      <c r="P33" s="15"/>
    </row>
    <row r="34" spans="1:16" x14ac:dyDescent="0.25">
      <c r="A34" s="15"/>
      <c r="B34" s="19"/>
      <c r="C34" s="19"/>
      <c r="D34" s="19"/>
      <c r="E34" s="19"/>
      <c r="F34" s="20"/>
      <c r="G34" s="15"/>
      <c r="H34" s="15"/>
      <c r="I34" s="15"/>
      <c r="J34" s="15"/>
      <c r="K34" s="15"/>
      <c r="L34" s="15"/>
      <c r="M34" s="15"/>
      <c r="N34" s="15"/>
      <c r="O34" s="15"/>
      <c r="P34" s="15"/>
    </row>
    <row r="35" spans="1:16" x14ac:dyDescent="0.25">
      <c r="G35" s="15"/>
      <c r="H35" s="15"/>
      <c r="I35" s="15"/>
      <c r="J35" s="15"/>
      <c r="K35" s="15"/>
      <c r="L35" s="15"/>
      <c r="M35" s="15"/>
      <c r="N35" s="15"/>
      <c r="O35" s="15"/>
      <c r="P35" s="15"/>
    </row>
    <row r="36" spans="1:16" x14ac:dyDescent="0.25">
      <c r="A36" s="15"/>
      <c r="G36" s="15"/>
      <c r="H36" s="15"/>
      <c r="I36" s="15"/>
      <c r="J36" s="15"/>
      <c r="K36" s="15"/>
      <c r="L36" s="15"/>
      <c r="M36" s="15"/>
      <c r="N36" s="15"/>
      <c r="O36" s="15"/>
      <c r="P36" s="15"/>
    </row>
  </sheetData>
  <sortState xmlns:xlrd2="http://schemas.microsoft.com/office/spreadsheetml/2017/richdata2" ref="B4:F26">
    <sortCondition descending="1" ref="F4:F26"/>
  </sortState>
  <mergeCells count="2">
    <mergeCell ref="A1:F1"/>
    <mergeCell ref="A28:C28"/>
  </mergeCells>
  <conditionalFormatting sqref="F4:F27">
    <cfRule type="cellIs" dxfId="3" priority="1" operator="between">
      <formula>0.75</formula>
      <formula>1</formula>
    </cfRule>
    <cfRule type="cellIs" dxfId="2" priority="2" operator="between">
      <formula>0.6</formula>
      <formula>0.7499</formula>
    </cfRule>
    <cfRule type="cellIs" dxfId="1" priority="3" operator="between">
      <formula>0.25</formula>
      <formula>0.599</formula>
    </cfRule>
    <cfRule type="cellIs" dxfId="0" priority="4" operator="between">
      <formula>0</formula>
      <formula>0.24</formula>
    </cfRule>
  </conditionalFormatting>
  <pageMargins left="0.25" right="0.25" top="0.75" bottom="0.75" header="0.3" footer="0.3"/>
  <pageSetup paperSize="9" scale="80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5121" r:id="rId4" name="CommandButton2">
          <controlPr defaultSize="0" autoLine="0" r:id="rId5">
            <anchor moveWithCells="1" sizeWithCells="1">
              <from>
                <xdr:col>9</xdr:col>
                <xdr:colOff>335280</xdr:colOff>
                <xdr:row>0</xdr:row>
                <xdr:rowOff>160020</xdr:rowOff>
              </from>
              <to>
                <xdr:col>10</xdr:col>
                <xdr:colOff>708660</xdr:colOff>
                <xdr:row>2</xdr:row>
                <xdr:rowOff>266700</xdr:rowOff>
              </to>
            </anchor>
          </controlPr>
        </control>
      </mc:Choice>
      <mc:Fallback>
        <control shapeId="5121" r:id="rId4" name="CommandButton2"/>
      </mc:Fallback>
    </mc:AlternateContent>
    <mc:AlternateContent xmlns:mc="http://schemas.openxmlformats.org/markup-compatibility/2006">
      <mc:Choice Requires="x14">
        <control shapeId="5122" r:id="rId6" name="Drop Down 2">
          <controlPr defaultSize="0" autoLine="0" autoPict="0" macro="[0]!Ordenar_Mensual">
            <anchor moveWithCells="1">
              <from>
                <xdr:col>9</xdr:col>
                <xdr:colOff>281940</xdr:colOff>
                <xdr:row>2</xdr:row>
                <xdr:rowOff>365760</xdr:rowOff>
              </from>
              <to>
                <xdr:col>11</xdr:col>
                <xdr:colOff>213360</xdr:colOff>
                <xdr:row>2</xdr:row>
                <xdr:rowOff>891540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14088-E925-46D6-883C-6BD45C57ABB8}">
  <sheetPr codeName="Hoja4"/>
  <dimension ref="A1:I70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" sqref="E1"/>
    </sheetView>
  </sheetViews>
  <sheetFormatPr baseColWidth="10" defaultColWidth="11.5546875" defaultRowHeight="13.2" x14ac:dyDescent="0.25"/>
  <cols>
    <col min="1" max="1" width="18.6640625" style="42" bestFit="1" customWidth="1"/>
    <col min="2" max="2" width="4.6640625" style="42" bestFit="1" customWidth="1"/>
    <col min="3" max="3" width="13" style="42" bestFit="1" customWidth="1"/>
    <col min="4" max="4" width="34.6640625" style="48" bestFit="1" customWidth="1"/>
    <col min="5" max="5" width="14.6640625" style="42" bestFit="1" customWidth="1"/>
    <col min="6" max="6" width="10.5546875" style="42" bestFit="1" customWidth="1"/>
    <col min="7" max="7" width="11.6640625" style="42" customWidth="1"/>
    <col min="8" max="8" width="10.33203125" style="42" bestFit="1" customWidth="1"/>
    <col min="9" max="9" width="6.33203125" style="42" bestFit="1" customWidth="1"/>
    <col min="10" max="16384" width="11.5546875" style="42"/>
  </cols>
  <sheetData>
    <row r="1" spans="1:9" ht="26.4" x14ac:dyDescent="0.25">
      <c r="A1" s="43" t="s">
        <v>72</v>
      </c>
      <c r="B1" s="43" t="s">
        <v>73</v>
      </c>
      <c r="C1" s="43" t="s">
        <v>75</v>
      </c>
      <c r="D1" s="43" t="s">
        <v>74</v>
      </c>
      <c r="E1" s="43" t="s">
        <v>76</v>
      </c>
      <c r="F1" s="43" t="s">
        <v>77</v>
      </c>
      <c r="G1" s="43" t="s">
        <v>5</v>
      </c>
      <c r="H1" s="44" t="s">
        <v>36</v>
      </c>
      <c r="I1" s="44" t="s">
        <v>37</v>
      </c>
    </row>
    <row r="2" spans="1:9" ht="13.8" x14ac:dyDescent="0.25">
      <c r="A2" s="42" t="str">
        <f t="shared" ref="A2:A31" si="0">C2&amp;H2&amp;I2</f>
        <v>11799Enero2025</v>
      </c>
      <c r="B2" s="61">
        <v>1</v>
      </c>
      <c r="C2" s="61">
        <v>11799</v>
      </c>
      <c r="D2" s="62" t="s">
        <v>21</v>
      </c>
      <c r="E2" s="61">
        <v>1803</v>
      </c>
      <c r="F2" s="61">
        <v>1823</v>
      </c>
      <c r="G2" s="49">
        <f t="shared" ref="G2:G3" si="1">E2/F2</f>
        <v>0.98902907295666487</v>
      </c>
      <c r="H2" s="42" t="s">
        <v>39</v>
      </c>
      <c r="I2" s="42">
        <v>2025</v>
      </c>
    </row>
    <row r="3" spans="1:9" ht="13.8" x14ac:dyDescent="0.25">
      <c r="A3" s="42" t="str">
        <f t="shared" si="0"/>
        <v>246Enero2025</v>
      </c>
      <c r="B3" s="61">
        <v>2</v>
      </c>
      <c r="C3" s="61">
        <v>246</v>
      </c>
      <c r="D3" s="62" t="s">
        <v>9</v>
      </c>
      <c r="E3" s="61">
        <v>2687</v>
      </c>
      <c r="F3" s="61">
        <v>2705</v>
      </c>
      <c r="G3" s="49">
        <f t="shared" si="1"/>
        <v>0.99334565619223658</v>
      </c>
      <c r="H3" s="42" t="s">
        <v>39</v>
      </c>
      <c r="I3" s="42">
        <v>2025</v>
      </c>
    </row>
    <row r="4" spans="1:9" ht="13.8" x14ac:dyDescent="0.25">
      <c r="A4" s="42" t="str">
        <f t="shared" si="0"/>
        <v>12165Enero2025</v>
      </c>
      <c r="B4" s="61">
        <v>3</v>
      </c>
      <c r="C4" s="61">
        <v>12165</v>
      </c>
      <c r="D4" s="62" t="s">
        <v>65</v>
      </c>
      <c r="E4" s="61">
        <v>336</v>
      </c>
      <c r="F4" s="61">
        <v>343</v>
      </c>
      <c r="G4" s="49">
        <f t="shared" ref="G4:G67" si="2">E4/F4</f>
        <v>0.97959183673469385</v>
      </c>
      <c r="H4" s="42" t="s">
        <v>39</v>
      </c>
      <c r="I4" s="42">
        <v>2025</v>
      </c>
    </row>
    <row r="5" spans="1:9" ht="13.8" x14ac:dyDescent="0.25">
      <c r="A5" s="42" t="str">
        <f t="shared" si="0"/>
        <v>11117Enero2025</v>
      </c>
      <c r="B5" s="61">
        <v>4</v>
      </c>
      <c r="C5" s="61">
        <v>11117</v>
      </c>
      <c r="D5" s="62" t="s">
        <v>15</v>
      </c>
      <c r="E5" s="61">
        <v>6159</v>
      </c>
      <c r="F5" s="61">
        <v>6507</v>
      </c>
      <c r="G5" s="49">
        <f t="shared" si="2"/>
        <v>0.94651913324112491</v>
      </c>
      <c r="H5" s="42" t="s">
        <v>39</v>
      </c>
      <c r="I5" s="42">
        <v>2025</v>
      </c>
    </row>
    <row r="6" spans="1:9" ht="13.8" x14ac:dyDescent="0.25">
      <c r="A6" s="42" t="str">
        <f t="shared" si="0"/>
        <v>10904Enero2025</v>
      </c>
      <c r="B6" s="61">
        <v>5</v>
      </c>
      <c r="C6" s="61">
        <v>10904</v>
      </c>
      <c r="D6" s="62" t="s">
        <v>28</v>
      </c>
      <c r="E6" s="61">
        <v>1137</v>
      </c>
      <c r="F6" s="61">
        <v>1210</v>
      </c>
      <c r="G6" s="49">
        <f t="shared" si="2"/>
        <v>0.93966942148760335</v>
      </c>
      <c r="H6" s="42" t="s">
        <v>39</v>
      </c>
      <c r="I6" s="42">
        <v>2025</v>
      </c>
    </row>
    <row r="7" spans="1:9" ht="13.8" x14ac:dyDescent="0.25">
      <c r="A7" s="42" t="str">
        <f t="shared" si="0"/>
        <v>241Enero2025</v>
      </c>
      <c r="B7" s="61">
        <v>6</v>
      </c>
      <c r="C7" s="61">
        <v>241</v>
      </c>
      <c r="D7" s="62" t="s">
        <v>29</v>
      </c>
      <c r="E7" s="61">
        <v>1565</v>
      </c>
      <c r="F7" s="61">
        <v>1660</v>
      </c>
      <c r="G7" s="49">
        <f t="shared" si="2"/>
        <v>0.94277108433734935</v>
      </c>
      <c r="H7" s="42" t="s">
        <v>39</v>
      </c>
      <c r="I7" s="42">
        <v>2025</v>
      </c>
    </row>
    <row r="8" spans="1:9" ht="13.8" x14ac:dyDescent="0.25">
      <c r="A8" s="42" t="str">
        <f t="shared" si="0"/>
        <v>11882Enero2025</v>
      </c>
      <c r="B8" s="61">
        <v>7</v>
      </c>
      <c r="C8" s="61">
        <v>11882</v>
      </c>
      <c r="D8" s="62" t="s">
        <v>22</v>
      </c>
      <c r="E8" s="61">
        <v>789</v>
      </c>
      <c r="F8" s="61">
        <v>846</v>
      </c>
      <c r="G8" s="49">
        <f t="shared" si="2"/>
        <v>0.93262411347517726</v>
      </c>
      <c r="H8" s="42" t="s">
        <v>39</v>
      </c>
      <c r="I8" s="42">
        <v>2025</v>
      </c>
    </row>
    <row r="9" spans="1:9" ht="13.8" x14ac:dyDescent="0.25">
      <c r="A9" s="42" t="str">
        <f t="shared" si="0"/>
        <v>240Enero2025</v>
      </c>
      <c r="B9" s="61">
        <v>8</v>
      </c>
      <c r="C9" s="61">
        <v>240</v>
      </c>
      <c r="D9" s="62" t="s">
        <v>23</v>
      </c>
      <c r="E9" s="61">
        <v>2642</v>
      </c>
      <c r="F9" s="61">
        <v>2854</v>
      </c>
      <c r="G9" s="49">
        <f t="shared" si="2"/>
        <v>0.92571829011913109</v>
      </c>
      <c r="H9" s="42" t="s">
        <v>39</v>
      </c>
      <c r="I9" s="42">
        <v>2025</v>
      </c>
    </row>
    <row r="10" spans="1:9" ht="13.8" x14ac:dyDescent="0.25">
      <c r="A10" s="42" t="str">
        <f t="shared" si="0"/>
        <v>234Enero2025</v>
      </c>
      <c r="B10" s="61">
        <v>9</v>
      </c>
      <c r="C10" s="61">
        <v>234</v>
      </c>
      <c r="D10" s="62" t="s">
        <v>18</v>
      </c>
      <c r="E10" s="61">
        <v>3430</v>
      </c>
      <c r="F10" s="61">
        <v>3720</v>
      </c>
      <c r="G10" s="49">
        <f t="shared" si="2"/>
        <v>0.92204301075268813</v>
      </c>
      <c r="H10" s="42" t="s">
        <v>39</v>
      </c>
      <c r="I10" s="42">
        <v>2025</v>
      </c>
    </row>
    <row r="11" spans="1:9" ht="13.8" x14ac:dyDescent="0.25">
      <c r="A11" s="42" t="str">
        <f t="shared" si="0"/>
        <v>11931Enero2025</v>
      </c>
      <c r="B11" s="61">
        <v>10</v>
      </c>
      <c r="C11" s="61">
        <v>11931</v>
      </c>
      <c r="D11" s="62" t="s">
        <v>38</v>
      </c>
      <c r="E11" s="61">
        <v>1899</v>
      </c>
      <c r="F11" s="61">
        <v>2065</v>
      </c>
      <c r="G11" s="49">
        <f t="shared" si="2"/>
        <v>0.91961259079903146</v>
      </c>
      <c r="H11" s="42" t="s">
        <v>39</v>
      </c>
      <c r="I11" s="42">
        <v>2025</v>
      </c>
    </row>
    <row r="12" spans="1:9" ht="13.8" x14ac:dyDescent="0.25">
      <c r="A12" s="42" t="str">
        <f t="shared" si="0"/>
        <v>10951Enero2025</v>
      </c>
      <c r="B12" s="61">
        <v>11</v>
      </c>
      <c r="C12" s="61">
        <v>10951</v>
      </c>
      <c r="D12" s="62" t="s">
        <v>24</v>
      </c>
      <c r="E12" s="61">
        <v>1763</v>
      </c>
      <c r="F12" s="61">
        <v>1950</v>
      </c>
      <c r="G12" s="49">
        <f t="shared" si="2"/>
        <v>0.90410256410256407</v>
      </c>
      <c r="H12" s="42" t="s">
        <v>39</v>
      </c>
      <c r="I12" s="42">
        <v>2025</v>
      </c>
    </row>
    <row r="13" spans="1:9" ht="13.8" x14ac:dyDescent="0.25">
      <c r="A13" s="42" t="str">
        <f t="shared" si="0"/>
        <v>1557Enero2025</v>
      </c>
      <c r="B13" s="61">
        <v>12</v>
      </c>
      <c r="C13" s="61">
        <v>1557</v>
      </c>
      <c r="D13" s="62" t="s">
        <v>12</v>
      </c>
      <c r="E13" s="61">
        <v>1256</v>
      </c>
      <c r="F13" s="61">
        <v>1405</v>
      </c>
      <c r="G13" s="49">
        <f t="shared" si="2"/>
        <v>0.89395017793594311</v>
      </c>
      <c r="H13" s="42" t="s">
        <v>39</v>
      </c>
      <c r="I13" s="42">
        <v>2025</v>
      </c>
    </row>
    <row r="14" spans="1:9" ht="13.8" x14ac:dyDescent="0.25">
      <c r="A14" s="42" t="str">
        <f t="shared" si="0"/>
        <v>235Enero2025</v>
      </c>
      <c r="B14" s="61">
        <v>13</v>
      </c>
      <c r="C14" s="61">
        <v>235</v>
      </c>
      <c r="D14" s="62" t="s">
        <v>32</v>
      </c>
      <c r="E14" s="61">
        <v>2812</v>
      </c>
      <c r="F14" s="61">
        <v>3165</v>
      </c>
      <c r="G14" s="49">
        <f t="shared" si="2"/>
        <v>0.88846761453396528</v>
      </c>
      <c r="H14" s="42" t="s">
        <v>39</v>
      </c>
      <c r="I14" s="42">
        <v>2025</v>
      </c>
    </row>
    <row r="15" spans="1:9" ht="13.8" x14ac:dyDescent="0.25">
      <c r="A15" s="42" t="str">
        <f t="shared" si="0"/>
        <v>11116Enero2025</v>
      </c>
      <c r="B15" s="61">
        <v>14</v>
      </c>
      <c r="C15" s="61">
        <v>11116</v>
      </c>
      <c r="D15" s="62" t="s">
        <v>27</v>
      </c>
      <c r="E15" s="61">
        <v>6531</v>
      </c>
      <c r="F15" s="61">
        <v>7390</v>
      </c>
      <c r="G15" s="49">
        <f t="shared" si="2"/>
        <v>0.88376184032476324</v>
      </c>
      <c r="H15" s="42" t="s">
        <v>39</v>
      </c>
      <c r="I15" s="42">
        <v>2025</v>
      </c>
    </row>
    <row r="16" spans="1:9" ht="13.8" x14ac:dyDescent="0.25">
      <c r="A16" s="42" t="str">
        <f t="shared" si="0"/>
        <v>236Enero2025</v>
      </c>
      <c r="B16" s="61">
        <v>15</v>
      </c>
      <c r="C16" s="61">
        <v>236</v>
      </c>
      <c r="D16" s="62" t="s">
        <v>25</v>
      </c>
      <c r="E16" s="61">
        <v>3236</v>
      </c>
      <c r="F16" s="61">
        <v>3691</v>
      </c>
      <c r="G16" s="49">
        <f t="shared" si="2"/>
        <v>0.87672717420753188</v>
      </c>
      <c r="H16" s="42" t="s">
        <v>39</v>
      </c>
      <c r="I16" s="42">
        <v>2025</v>
      </c>
    </row>
    <row r="17" spans="1:9" ht="13.8" x14ac:dyDescent="0.25">
      <c r="A17" s="42" t="str">
        <f t="shared" si="0"/>
        <v>238Enero2025</v>
      </c>
      <c r="B17" s="61">
        <v>16</v>
      </c>
      <c r="C17" s="61">
        <v>238</v>
      </c>
      <c r="D17" s="62" t="s">
        <v>34</v>
      </c>
      <c r="E17" s="61">
        <v>1787</v>
      </c>
      <c r="F17" s="61">
        <v>2110</v>
      </c>
      <c r="G17" s="49">
        <f t="shared" si="2"/>
        <v>0.84691943127962088</v>
      </c>
      <c r="H17" s="42" t="s">
        <v>39</v>
      </c>
      <c r="I17" s="42">
        <v>2025</v>
      </c>
    </row>
    <row r="18" spans="1:9" ht="13.8" x14ac:dyDescent="0.25">
      <c r="A18" s="42" t="str">
        <f t="shared" si="0"/>
        <v>12166Enero2025</v>
      </c>
      <c r="B18" s="61">
        <v>17</v>
      </c>
      <c r="C18" s="61">
        <v>12166</v>
      </c>
      <c r="D18" s="62" t="s">
        <v>64</v>
      </c>
      <c r="E18" s="61">
        <v>1285</v>
      </c>
      <c r="F18" s="61">
        <v>1572</v>
      </c>
      <c r="G18" s="49">
        <f t="shared" si="2"/>
        <v>0.81743002544529264</v>
      </c>
      <c r="H18" s="42" t="s">
        <v>39</v>
      </c>
      <c r="I18" s="42">
        <v>2025</v>
      </c>
    </row>
    <row r="19" spans="1:9" ht="13.8" x14ac:dyDescent="0.25">
      <c r="A19" s="42" t="str">
        <f t="shared" si="0"/>
        <v>242Enero2025</v>
      </c>
      <c r="B19" s="61">
        <v>18</v>
      </c>
      <c r="C19" s="61">
        <v>242</v>
      </c>
      <c r="D19" s="62" t="s">
        <v>7</v>
      </c>
      <c r="E19" s="61">
        <v>1022</v>
      </c>
      <c r="F19" s="61">
        <v>1344</v>
      </c>
      <c r="G19" s="49">
        <f t="shared" si="2"/>
        <v>0.76041666666666663</v>
      </c>
      <c r="H19" s="42" t="s">
        <v>39</v>
      </c>
      <c r="I19" s="42">
        <v>2025</v>
      </c>
    </row>
    <row r="20" spans="1:9" ht="13.8" x14ac:dyDescent="0.25">
      <c r="A20" s="42" t="str">
        <f t="shared" si="0"/>
        <v>239Enero2025</v>
      </c>
      <c r="B20" s="61">
        <v>19</v>
      </c>
      <c r="C20" s="61">
        <v>239</v>
      </c>
      <c r="D20" s="62" t="s">
        <v>31</v>
      </c>
      <c r="E20" s="61">
        <v>2425</v>
      </c>
      <c r="F20" s="61">
        <v>3390</v>
      </c>
      <c r="G20" s="49">
        <f t="shared" si="2"/>
        <v>0.71533923303834812</v>
      </c>
      <c r="H20" s="42" t="s">
        <v>39</v>
      </c>
      <c r="I20" s="42">
        <v>2025</v>
      </c>
    </row>
    <row r="21" spans="1:9" ht="13.8" x14ac:dyDescent="0.25">
      <c r="A21" s="42" t="str">
        <f t="shared" si="0"/>
        <v>28745Enero2025</v>
      </c>
      <c r="B21" s="61">
        <v>20</v>
      </c>
      <c r="C21" s="61">
        <v>28745</v>
      </c>
      <c r="D21" s="62" t="s">
        <v>6</v>
      </c>
      <c r="E21" s="61">
        <v>306</v>
      </c>
      <c r="F21" s="61">
        <v>464</v>
      </c>
      <c r="G21" s="49">
        <f t="shared" si="2"/>
        <v>0.65948275862068961</v>
      </c>
      <c r="H21" s="42" t="s">
        <v>39</v>
      </c>
      <c r="I21" s="42">
        <v>2025</v>
      </c>
    </row>
    <row r="22" spans="1:9" ht="13.8" x14ac:dyDescent="0.25">
      <c r="A22" s="42" t="str">
        <f t="shared" si="0"/>
        <v>243Enero2025</v>
      </c>
      <c r="B22" s="61">
        <v>21</v>
      </c>
      <c r="C22" s="61">
        <v>243</v>
      </c>
      <c r="D22" s="62" t="s">
        <v>33</v>
      </c>
      <c r="E22" s="61">
        <v>1793</v>
      </c>
      <c r="F22" s="61">
        <v>2950</v>
      </c>
      <c r="G22" s="49">
        <f t="shared" si="2"/>
        <v>0.60779661016949149</v>
      </c>
      <c r="H22" s="42" t="s">
        <v>39</v>
      </c>
      <c r="I22" s="42">
        <v>2025</v>
      </c>
    </row>
    <row r="23" spans="1:9" ht="13.8" x14ac:dyDescent="0.25">
      <c r="A23" s="42" t="str">
        <f t="shared" si="0"/>
        <v>237Enero2025</v>
      </c>
      <c r="B23" s="61">
        <v>22</v>
      </c>
      <c r="C23" s="61">
        <v>237</v>
      </c>
      <c r="D23" s="62" t="s">
        <v>30</v>
      </c>
      <c r="E23" s="61">
        <v>2503</v>
      </c>
      <c r="F23" s="61">
        <v>5097</v>
      </c>
      <c r="G23" s="49">
        <f t="shared" si="2"/>
        <v>0.49107318030213853</v>
      </c>
      <c r="H23" s="42" t="s">
        <v>39</v>
      </c>
      <c r="I23" s="42">
        <v>2025</v>
      </c>
    </row>
    <row r="24" spans="1:9" ht="13.8" x14ac:dyDescent="0.25">
      <c r="A24" s="42" t="str">
        <f t="shared" si="0"/>
        <v>12163Enero2025</v>
      </c>
      <c r="B24" s="61">
        <v>23</v>
      </c>
      <c r="C24" s="61">
        <v>12163</v>
      </c>
      <c r="D24" s="62" t="s">
        <v>66</v>
      </c>
      <c r="E24" s="61">
        <v>507</v>
      </c>
      <c r="F24" s="61">
        <v>1092</v>
      </c>
      <c r="G24" s="49">
        <f t="shared" si="2"/>
        <v>0.4642857142857143</v>
      </c>
      <c r="H24" s="42" t="s">
        <v>39</v>
      </c>
      <c r="I24" s="42">
        <v>2025</v>
      </c>
    </row>
    <row r="25" spans="1:9" x14ac:dyDescent="0.25">
      <c r="A25" s="42" t="str">
        <f t="shared" si="0"/>
        <v>11882Febrero2025</v>
      </c>
      <c r="B25" s="42">
        <v>1</v>
      </c>
      <c r="C25" s="42">
        <v>11882</v>
      </c>
      <c r="D25" s="48" t="s">
        <v>22</v>
      </c>
      <c r="E25" s="42">
        <v>707</v>
      </c>
      <c r="F25" s="42">
        <v>711</v>
      </c>
      <c r="G25" s="49">
        <f t="shared" si="2"/>
        <v>0.99437412095639943</v>
      </c>
      <c r="H25" s="42" t="s">
        <v>40</v>
      </c>
      <c r="I25" s="42">
        <v>2025</v>
      </c>
    </row>
    <row r="26" spans="1:9" x14ac:dyDescent="0.25">
      <c r="A26" s="42" t="str">
        <f t="shared" si="0"/>
        <v>246Febrero2025</v>
      </c>
      <c r="B26" s="42">
        <v>2</v>
      </c>
      <c r="C26" s="42">
        <v>246</v>
      </c>
      <c r="D26" s="48" t="s">
        <v>9</v>
      </c>
      <c r="E26" s="42">
        <v>1770</v>
      </c>
      <c r="F26" s="42">
        <v>1797</v>
      </c>
      <c r="G26" s="49">
        <f t="shared" si="2"/>
        <v>0.9849749582637729</v>
      </c>
      <c r="H26" s="42" t="s">
        <v>40</v>
      </c>
      <c r="I26" s="42">
        <v>2025</v>
      </c>
    </row>
    <row r="27" spans="1:9" x14ac:dyDescent="0.25">
      <c r="A27" s="42" t="str">
        <f t="shared" si="0"/>
        <v>11117Febrero2025</v>
      </c>
      <c r="B27" s="42">
        <v>3</v>
      </c>
      <c r="C27" s="42">
        <v>11117</v>
      </c>
      <c r="D27" s="48" t="s">
        <v>15</v>
      </c>
      <c r="E27" s="42">
        <v>5856</v>
      </c>
      <c r="F27" s="42">
        <v>6032</v>
      </c>
      <c r="G27" s="49">
        <f t="shared" si="2"/>
        <v>0.97082228116710878</v>
      </c>
      <c r="H27" s="42" t="s">
        <v>40</v>
      </c>
      <c r="I27" s="42">
        <v>2025</v>
      </c>
    </row>
    <row r="28" spans="1:9" x14ac:dyDescent="0.25">
      <c r="A28" s="42" t="str">
        <f t="shared" si="0"/>
        <v>11799Febrero2025</v>
      </c>
      <c r="B28" s="42">
        <v>4</v>
      </c>
      <c r="C28" s="42">
        <v>11799</v>
      </c>
      <c r="D28" s="48" t="s">
        <v>21</v>
      </c>
      <c r="E28" s="42">
        <v>1682</v>
      </c>
      <c r="F28" s="42">
        <v>1747</v>
      </c>
      <c r="G28" s="49">
        <f t="shared" si="2"/>
        <v>0.96279336004579275</v>
      </c>
      <c r="H28" s="42" t="s">
        <v>40</v>
      </c>
      <c r="I28" s="42">
        <v>2025</v>
      </c>
    </row>
    <row r="29" spans="1:9" x14ac:dyDescent="0.25">
      <c r="A29" s="42" t="str">
        <f t="shared" si="0"/>
        <v>12165Febrero2025</v>
      </c>
      <c r="B29" s="42">
        <v>5</v>
      </c>
      <c r="C29" s="42">
        <v>12165</v>
      </c>
      <c r="D29" s="48" t="s">
        <v>65</v>
      </c>
      <c r="E29" s="42">
        <v>875</v>
      </c>
      <c r="F29" s="42">
        <v>923</v>
      </c>
      <c r="G29" s="49">
        <f t="shared" si="2"/>
        <v>0.94799566630552545</v>
      </c>
      <c r="H29" s="42" t="s">
        <v>40</v>
      </c>
      <c r="I29" s="42">
        <v>2025</v>
      </c>
    </row>
    <row r="30" spans="1:9" x14ac:dyDescent="0.25">
      <c r="A30" s="42" t="str">
        <f t="shared" si="0"/>
        <v>240Febrero2025</v>
      </c>
      <c r="B30" s="42">
        <v>6</v>
      </c>
      <c r="C30" s="42">
        <v>240</v>
      </c>
      <c r="D30" s="48" t="s">
        <v>23</v>
      </c>
      <c r="E30" s="42">
        <v>2510</v>
      </c>
      <c r="F30" s="42">
        <v>2671</v>
      </c>
      <c r="G30" s="49">
        <f t="shared" si="2"/>
        <v>0.93972295020591534</v>
      </c>
      <c r="H30" s="42" t="s">
        <v>40</v>
      </c>
      <c r="I30" s="42">
        <v>2025</v>
      </c>
    </row>
    <row r="31" spans="1:9" x14ac:dyDescent="0.25">
      <c r="A31" s="42" t="str">
        <f t="shared" si="0"/>
        <v>10904Febrero2025</v>
      </c>
      <c r="B31" s="42">
        <v>7</v>
      </c>
      <c r="C31" s="42">
        <v>10904</v>
      </c>
      <c r="D31" s="48" t="s">
        <v>28</v>
      </c>
      <c r="E31" s="42">
        <v>1483</v>
      </c>
      <c r="F31" s="42">
        <v>1591</v>
      </c>
      <c r="G31" s="49">
        <f t="shared" si="2"/>
        <v>0.93211816467630426</v>
      </c>
      <c r="H31" s="42" t="s">
        <v>40</v>
      </c>
      <c r="I31" s="42">
        <v>2025</v>
      </c>
    </row>
    <row r="32" spans="1:9" x14ac:dyDescent="0.25">
      <c r="A32" s="42" t="str">
        <f t="shared" ref="A32:A70" si="3">C32&amp;H32&amp;I32</f>
        <v>235Febrero2025</v>
      </c>
      <c r="B32" s="42">
        <v>8</v>
      </c>
      <c r="C32" s="42">
        <v>235</v>
      </c>
      <c r="D32" s="48" t="s">
        <v>32</v>
      </c>
      <c r="E32" s="42">
        <v>1858</v>
      </c>
      <c r="F32" s="42">
        <v>1993</v>
      </c>
      <c r="G32" s="49">
        <f t="shared" si="2"/>
        <v>0.93226292022077273</v>
      </c>
      <c r="H32" s="42" t="s">
        <v>40</v>
      </c>
      <c r="I32" s="42">
        <v>2025</v>
      </c>
    </row>
    <row r="33" spans="1:9" x14ac:dyDescent="0.25">
      <c r="A33" s="42" t="str">
        <f t="shared" si="3"/>
        <v>239Febrero2025</v>
      </c>
      <c r="B33" s="42">
        <v>9</v>
      </c>
      <c r="C33" s="42">
        <v>239</v>
      </c>
      <c r="D33" s="48" t="s">
        <v>31</v>
      </c>
      <c r="E33" s="42">
        <v>3182</v>
      </c>
      <c r="F33" s="42">
        <v>3421</v>
      </c>
      <c r="G33" s="49">
        <f t="shared" si="2"/>
        <v>0.93013738672902657</v>
      </c>
      <c r="H33" s="42" t="s">
        <v>40</v>
      </c>
      <c r="I33" s="42">
        <v>2025</v>
      </c>
    </row>
    <row r="34" spans="1:9" x14ac:dyDescent="0.25">
      <c r="A34" s="42" t="str">
        <f t="shared" si="3"/>
        <v>28745Febrero2025</v>
      </c>
      <c r="B34" s="42">
        <v>10</v>
      </c>
      <c r="C34" s="42">
        <v>28745</v>
      </c>
      <c r="D34" s="48" t="s">
        <v>6</v>
      </c>
      <c r="E34" s="42">
        <v>389</v>
      </c>
      <c r="F34" s="42">
        <v>419</v>
      </c>
      <c r="G34" s="49">
        <f t="shared" si="2"/>
        <v>0.9284009546539379</v>
      </c>
      <c r="H34" s="42" t="s">
        <v>40</v>
      </c>
      <c r="I34" s="42">
        <v>2025</v>
      </c>
    </row>
    <row r="35" spans="1:9" x14ac:dyDescent="0.25">
      <c r="A35" s="42" t="str">
        <f t="shared" si="3"/>
        <v>12163Febrero2025</v>
      </c>
      <c r="B35" s="42">
        <v>11</v>
      </c>
      <c r="C35" s="42">
        <v>12163</v>
      </c>
      <c r="D35" s="48" t="s">
        <v>66</v>
      </c>
      <c r="E35" s="42">
        <v>1097</v>
      </c>
      <c r="F35" s="42">
        <v>1211</v>
      </c>
      <c r="G35" s="49">
        <f t="shared" si="2"/>
        <v>0.90586292320396367</v>
      </c>
      <c r="H35" s="42" t="s">
        <v>40</v>
      </c>
      <c r="I35" s="42">
        <v>2025</v>
      </c>
    </row>
    <row r="36" spans="1:9" x14ac:dyDescent="0.25">
      <c r="A36" s="42" t="str">
        <f t="shared" si="3"/>
        <v>11116Febrero2025</v>
      </c>
      <c r="B36" s="42">
        <v>12</v>
      </c>
      <c r="C36" s="42">
        <v>11116</v>
      </c>
      <c r="D36" s="48" t="s">
        <v>27</v>
      </c>
      <c r="E36" s="42">
        <v>6901</v>
      </c>
      <c r="F36" s="42">
        <v>7700</v>
      </c>
      <c r="G36" s="49">
        <f t="shared" si="2"/>
        <v>0.89623376623376627</v>
      </c>
      <c r="H36" s="42" t="s">
        <v>40</v>
      </c>
      <c r="I36" s="42">
        <v>2025</v>
      </c>
    </row>
    <row r="37" spans="1:9" x14ac:dyDescent="0.25">
      <c r="A37" s="42" t="str">
        <f t="shared" si="3"/>
        <v>11931Febrero2025</v>
      </c>
      <c r="B37" s="42">
        <v>13</v>
      </c>
      <c r="C37" s="42">
        <v>11931</v>
      </c>
      <c r="D37" s="48" t="s">
        <v>38</v>
      </c>
      <c r="E37" s="42">
        <v>1720</v>
      </c>
      <c r="F37" s="42">
        <v>1901</v>
      </c>
      <c r="G37" s="49">
        <f t="shared" si="2"/>
        <v>0.90478695423461342</v>
      </c>
      <c r="H37" s="42" t="s">
        <v>40</v>
      </c>
      <c r="I37" s="42">
        <v>2025</v>
      </c>
    </row>
    <row r="38" spans="1:9" x14ac:dyDescent="0.25">
      <c r="A38" s="42" t="str">
        <f t="shared" si="3"/>
        <v>242Febrero2025</v>
      </c>
      <c r="B38" s="42">
        <v>14</v>
      </c>
      <c r="C38" s="42">
        <v>242</v>
      </c>
      <c r="D38" s="48" t="s">
        <v>7</v>
      </c>
      <c r="E38" s="42">
        <v>1802</v>
      </c>
      <c r="F38" s="42">
        <v>2053</v>
      </c>
      <c r="G38" s="49">
        <f t="shared" si="2"/>
        <v>0.87773989283974674</v>
      </c>
      <c r="H38" s="42" t="s">
        <v>40</v>
      </c>
      <c r="I38" s="42">
        <v>2025</v>
      </c>
    </row>
    <row r="39" spans="1:9" x14ac:dyDescent="0.25">
      <c r="A39" s="42" t="str">
        <f t="shared" si="3"/>
        <v>10951Febrero2025</v>
      </c>
      <c r="B39" s="42">
        <v>15</v>
      </c>
      <c r="C39" s="42">
        <v>10951</v>
      </c>
      <c r="D39" s="48" t="s">
        <v>24</v>
      </c>
      <c r="E39" s="42">
        <v>1315</v>
      </c>
      <c r="F39" s="42">
        <v>1506</v>
      </c>
      <c r="G39" s="49">
        <f t="shared" si="2"/>
        <v>0.87317397078353254</v>
      </c>
      <c r="H39" s="42" t="s">
        <v>40</v>
      </c>
      <c r="I39" s="42">
        <v>2025</v>
      </c>
    </row>
    <row r="40" spans="1:9" x14ac:dyDescent="0.25">
      <c r="A40" s="42" t="str">
        <f t="shared" si="3"/>
        <v>241Febrero2025</v>
      </c>
      <c r="B40" s="42">
        <v>16</v>
      </c>
      <c r="C40" s="42">
        <v>241</v>
      </c>
      <c r="D40" s="48" t="s">
        <v>29</v>
      </c>
      <c r="E40" s="42">
        <v>979</v>
      </c>
      <c r="F40" s="42">
        <v>1126</v>
      </c>
      <c r="G40" s="49">
        <f t="shared" si="2"/>
        <v>0.86944937833037306</v>
      </c>
      <c r="H40" s="42" t="s">
        <v>40</v>
      </c>
      <c r="I40" s="42">
        <v>2025</v>
      </c>
    </row>
    <row r="41" spans="1:9" x14ac:dyDescent="0.25">
      <c r="A41" s="42" t="str">
        <f t="shared" si="3"/>
        <v>234Febrero2025</v>
      </c>
      <c r="B41" s="42">
        <v>17</v>
      </c>
      <c r="C41" s="42">
        <v>234</v>
      </c>
      <c r="D41" s="48" t="s">
        <v>18</v>
      </c>
      <c r="E41" s="42">
        <v>966</v>
      </c>
      <c r="F41" s="42">
        <v>1152</v>
      </c>
      <c r="G41" s="49">
        <f t="shared" si="2"/>
        <v>0.83854166666666663</v>
      </c>
      <c r="H41" s="42" t="s">
        <v>40</v>
      </c>
      <c r="I41" s="42">
        <v>2025</v>
      </c>
    </row>
    <row r="42" spans="1:9" x14ac:dyDescent="0.25">
      <c r="A42" s="42" t="str">
        <f t="shared" si="3"/>
        <v>12166Febrero2025</v>
      </c>
      <c r="B42" s="42">
        <v>18</v>
      </c>
      <c r="C42" s="42">
        <v>12166</v>
      </c>
      <c r="D42" s="48" t="s">
        <v>64</v>
      </c>
      <c r="E42" s="42">
        <v>1255</v>
      </c>
      <c r="F42" s="42">
        <v>1508</v>
      </c>
      <c r="G42" s="49">
        <f t="shared" si="2"/>
        <v>0.83222811671087538</v>
      </c>
      <c r="H42" s="42" t="s">
        <v>40</v>
      </c>
      <c r="I42" s="42">
        <v>2025</v>
      </c>
    </row>
    <row r="43" spans="1:9" x14ac:dyDescent="0.25">
      <c r="A43" s="42" t="str">
        <f t="shared" si="3"/>
        <v>238Febrero2025</v>
      </c>
      <c r="B43" s="42">
        <v>19</v>
      </c>
      <c r="C43" s="42">
        <v>238</v>
      </c>
      <c r="D43" s="48" t="s">
        <v>34</v>
      </c>
      <c r="E43" s="42">
        <v>1231</v>
      </c>
      <c r="F43" s="42">
        <v>1547</v>
      </c>
      <c r="G43" s="49">
        <f t="shared" si="2"/>
        <v>0.79573367808661921</v>
      </c>
      <c r="H43" s="42" t="s">
        <v>40</v>
      </c>
      <c r="I43" s="42">
        <v>2025</v>
      </c>
    </row>
    <row r="44" spans="1:9" x14ac:dyDescent="0.25">
      <c r="A44" s="42" t="str">
        <f t="shared" si="3"/>
        <v>236Febrero2025</v>
      </c>
      <c r="B44" s="42">
        <v>20</v>
      </c>
      <c r="C44" s="42">
        <v>236</v>
      </c>
      <c r="D44" s="48" t="s">
        <v>25</v>
      </c>
      <c r="E44" s="42">
        <v>2726</v>
      </c>
      <c r="F44" s="42">
        <v>3544</v>
      </c>
      <c r="G44" s="49">
        <f t="shared" si="2"/>
        <v>0.7691873589164786</v>
      </c>
      <c r="H44" s="42" t="s">
        <v>40</v>
      </c>
      <c r="I44" s="42">
        <v>2025</v>
      </c>
    </row>
    <row r="45" spans="1:9" x14ac:dyDescent="0.25">
      <c r="A45" s="42" t="str">
        <f t="shared" si="3"/>
        <v>243Febrero2025</v>
      </c>
      <c r="B45" s="42">
        <v>21</v>
      </c>
      <c r="C45" s="42">
        <v>243</v>
      </c>
      <c r="D45" s="48" t="s">
        <v>33</v>
      </c>
      <c r="E45" s="42">
        <v>2005</v>
      </c>
      <c r="F45" s="42">
        <v>2947</v>
      </c>
      <c r="G45" s="49">
        <f t="shared" si="2"/>
        <v>0.68035290125551406</v>
      </c>
      <c r="H45" s="42" t="s">
        <v>40</v>
      </c>
      <c r="I45" s="42">
        <v>2025</v>
      </c>
    </row>
    <row r="46" spans="1:9" x14ac:dyDescent="0.25">
      <c r="A46" s="42" t="str">
        <f t="shared" si="3"/>
        <v>1557Febrero2025</v>
      </c>
      <c r="B46" s="42">
        <v>22</v>
      </c>
      <c r="C46" s="42">
        <v>1557</v>
      </c>
      <c r="D46" s="48" t="s">
        <v>12</v>
      </c>
      <c r="E46" s="42">
        <v>358</v>
      </c>
      <c r="F46" s="42">
        <v>675</v>
      </c>
      <c r="G46" s="49">
        <f t="shared" si="2"/>
        <v>0.53037037037037038</v>
      </c>
      <c r="H46" s="42" t="s">
        <v>40</v>
      </c>
      <c r="I46" s="42">
        <v>2025</v>
      </c>
    </row>
    <row r="47" spans="1:9" x14ac:dyDescent="0.25">
      <c r="A47" s="42" t="str">
        <f t="shared" si="3"/>
        <v>237Febrero2025</v>
      </c>
      <c r="B47" s="42">
        <v>23</v>
      </c>
      <c r="C47" s="42">
        <v>237</v>
      </c>
      <c r="D47" s="48" t="s">
        <v>30</v>
      </c>
      <c r="E47" s="42">
        <v>3096</v>
      </c>
      <c r="F47" s="42">
        <v>5897</v>
      </c>
      <c r="G47" s="49">
        <f t="shared" si="2"/>
        <v>0.52501271833135488</v>
      </c>
      <c r="H47" s="42" t="s">
        <v>40</v>
      </c>
      <c r="I47" s="42">
        <v>2025</v>
      </c>
    </row>
    <row r="48" spans="1:9" x14ac:dyDescent="0.25">
      <c r="A48" s="42" t="str">
        <f t="shared" si="3"/>
        <v>239Marzo2025</v>
      </c>
      <c r="B48" s="42">
        <v>1</v>
      </c>
      <c r="C48" s="42">
        <v>239</v>
      </c>
      <c r="D48" s="48" t="s">
        <v>31</v>
      </c>
      <c r="E48" s="42">
        <v>3398</v>
      </c>
      <c r="F48" s="42">
        <v>3494</v>
      </c>
      <c r="G48" s="49">
        <f t="shared" si="2"/>
        <v>0.97252432741843164</v>
      </c>
      <c r="H48" s="42" t="s">
        <v>41</v>
      </c>
      <c r="I48" s="42">
        <v>2025</v>
      </c>
    </row>
    <row r="49" spans="1:9" x14ac:dyDescent="0.25">
      <c r="A49" s="42" t="str">
        <f t="shared" si="3"/>
        <v>11117Marzo2025</v>
      </c>
      <c r="B49" s="42">
        <v>2</v>
      </c>
      <c r="C49" s="42">
        <v>11117</v>
      </c>
      <c r="D49" s="48" t="s">
        <v>15</v>
      </c>
      <c r="E49" s="42">
        <v>6105</v>
      </c>
      <c r="F49" s="42">
        <v>6361</v>
      </c>
      <c r="G49" s="49">
        <f t="shared" si="2"/>
        <v>0.95975475554158152</v>
      </c>
      <c r="H49" s="42" t="s">
        <v>41</v>
      </c>
      <c r="I49" s="42">
        <v>2025</v>
      </c>
    </row>
    <row r="50" spans="1:9" x14ac:dyDescent="0.25">
      <c r="A50" s="42" t="str">
        <f t="shared" si="3"/>
        <v>11882Marzo2025</v>
      </c>
      <c r="B50" s="42">
        <v>3</v>
      </c>
      <c r="C50" s="42">
        <v>11882</v>
      </c>
      <c r="D50" s="48" t="s">
        <v>22</v>
      </c>
      <c r="E50" s="42">
        <v>823</v>
      </c>
      <c r="F50" s="42">
        <v>860</v>
      </c>
      <c r="G50" s="49">
        <f t="shared" si="2"/>
        <v>0.9569767441860465</v>
      </c>
      <c r="H50" s="42" t="s">
        <v>41</v>
      </c>
      <c r="I50" s="42">
        <v>2025</v>
      </c>
    </row>
    <row r="51" spans="1:9" x14ac:dyDescent="0.25">
      <c r="A51" s="42" t="str">
        <f t="shared" si="3"/>
        <v>12165Marzo2025</v>
      </c>
      <c r="B51" s="42">
        <v>4</v>
      </c>
      <c r="C51" s="42">
        <v>12165</v>
      </c>
      <c r="D51" s="48" t="s">
        <v>65</v>
      </c>
      <c r="E51" s="42">
        <v>688</v>
      </c>
      <c r="F51" s="42">
        <v>719</v>
      </c>
      <c r="G51" s="49">
        <f t="shared" si="2"/>
        <v>0.95688456189151594</v>
      </c>
      <c r="H51" s="42" t="s">
        <v>41</v>
      </c>
      <c r="I51" s="42">
        <v>2025</v>
      </c>
    </row>
    <row r="52" spans="1:9" x14ac:dyDescent="0.25">
      <c r="A52" s="42" t="str">
        <f t="shared" si="3"/>
        <v>10904Marzo2025</v>
      </c>
      <c r="B52" s="42">
        <v>5</v>
      </c>
      <c r="C52" s="42">
        <v>10904</v>
      </c>
      <c r="D52" s="48" t="s">
        <v>28</v>
      </c>
      <c r="E52" s="42">
        <v>1312</v>
      </c>
      <c r="F52" s="42">
        <v>1385</v>
      </c>
      <c r="G52" s="49">
        <f t="shared" si="2"/>
        <v>0.94729241877256321</v>
      </c>
      <c r="H52" s="42" t="s">
        <v>41</v>
      </c>
      <c r="I52" s="42">
        <v>2025</v>
      </c>
    </row>
    <row r="53" spans="1:9" x14ac:dyDescent="0.25">
      <c r="A53" s="42" t="str">
        <f t="shared" si="3"/>
        <v>11799Marzo2025</v>
      </c>
      <c r="B53" s="42">
        <v>6</v>
      </c>
      <c r="C53" s="42">
        <v>11799</v>
      </c>
      <c r="D53" s="48" t="s">
        <v>21</v>
      </c>
      <c r="E53" s="42">
        <v>1366</v>
      </c>
      <c r="F53" s="42">
        <v>1452</v>
      </c>
      <c r="G53" s="49">
        <f t="shared" si="2"/>
        <v>0.94077134986225897</v>
      </c>
      <c r="H53" s="42" t="s">
        <v>41</v>
      </c>
      <c r="I53" s="42">
        <v>2025</v>
      </c>
    </row>
    <row r="54" spans="1:9" x14ac:dyDescent="0.25">
      <c r="A54" s="42" t="str">
        <f t="shared" si="3"/>
        <v>235Marzo2025</v>
      </c>
      <c r="B54" s="42">
        <v>7</v>
      </c>
      <c r="C54" s="42">
        <v>235</v>
      </c>
      <c r="D54" s="48" t="s">
        <v>32</v>
      </c>
      <c r="E54" s="42">
        <v>2002</v>
      </c>
      <c r="F54" s="42">
        <v>2126</v>
      </c>
      <c r="G54" s="49">
        <f t="shared" si="2"/>
        <v>0.94167450611476955</v>
      </c>
      <c r="H54" s="42" t="s">
        <v>41</v>
      </c>
      <c r="I54" s="42">
        <v>2025</v>
      </c>
    </row>
    <row r="55" spans="1:9" x14ac:dyDescent="0.25">
      <c r="A55" s="42" t="str">
        <f t="shared" si="3"/>
        <v>12163Marzo2025</v>
      </c>
      <c r="B55" s="42">
        <v>8</v>
      </c>
      <c r="C55" s="42">
        <v>12163</v>
      </c>
      <c r="D55" s="48" t="s">
        <v>66</v>
      </c>
      <c r="E55" s="42">
        <v>1286</v>
      </c>
      <c r="F55" s="42">
        <v>1379</v>
      </c>
      <c r="G55" s="49">
        <f t="shared" si="2"/>
        <v>0.93255982596084119</v>
      </c>
      <c r="H55" s="42" t="s">
        <v>41</v>
      </c>
      <c r="I55" s="42">
        <v>2025</v>
      </c>
    </row>
    <row r="56" spans="1:9" x14ac:dyDescent="0.25">
      <c r="A56" s="42" t="str">
        <f t="shared" si="3"/>
        <v>240Marzo2025</v>
      </c>
      <c r="B56" s="42">
        <v>9</v>
      </c>
      <c r="C56" s="42">
        <v>240</v>
      </c>
      <c r="D56" s="48" t="s">
        <v>23</v>
      </c>
      <c r="E56" s="42">
        <v>2705</v>
      </c>
      <c r="F56" s="42">
        <v>2911</v>
      </c>
      <c r="G56" s="49">
        <f t="shared" si="2"/>
        <v>0.92923394022672623</v>
      </c>
      <c r="H56" s="42" t="s">
        <v>41</v>
      </c>
      <c r="I56" s="42">
        <v>2025</v>
      </c>
    </row>
    <row r="57" spans="1:9" x14ac:dyDescent="0.25">
      <c r="A57" s="42" t="str">
        <f t="shared" si="3"/>
        <v>241Marzo2025</v>
      </c>
      <c r="B57" s="42">
        <v>10</v>
      </c>
      <c r="C57" s="42">
        <v>241</v>
      </c>
      <c r="D57" s="48" t="s">
        <v>29</v>
      </c>
      <c r="E57" s="42">
        <v>1072</v>
      </c>
      <c r="F57" s="42">
        <v>1175</v>
      </c>
      <c r="G57" s="49">
        <f t="shared" si="2"/>
        <v>0.91234042553191486</v>
      </c>
      <c r="H57" s="42" t="s">
        <v>41</v>
      </c>
      <c r="I57" s="42">
        <v>2025</v>
      </c>
    </row>
    <row r="58" spans="1:9" x14ac:dyDescent="0.25">
      <c r="A58" s="42" t="str">
        <f t="shared" si="3"/>
        <v>236Marzo2025</v>
      </c>
      <c r="B58" s="42">
        <v>11</v>
      </c>
      <c r="C58" s="42">
        <v>236</v>
      </c>
      <c r="D58" s="48" t="s">
        <v>25</v>
      </c>
      <c r="E58" s="42">
        <v>3300</v>
      </c>
      <c r="F58" s="42">
        <v>3702</v>
      </c>
      <c r="G58" s="49">
        <f t="shared" si="2"/>
        <v>0.89141004862236628</v>
      </c>
      <c r="H58" s="42" t="s">
        <v>41</v>
      </c>
      <c r="I58" s="42">
        <v>2025</v>
      </c>
    </row>
    <row r="59" spans="1:9" x14ac:dyDescent="0.25">
      <c r="A59" s="42" t="str">
        <f t="shared" si="3"/>
        <v>11116Marzo2025</v>
      </c>
      <c r="B59" s="42">
        <v>12</v>
      </c>
      <c r="C59" s="42">
        <v>11116</v>
      </c>
      <c r="D59" s="48" t="s">
        <v>27</v>
      </c>
      <c r="E59" s="42">
        <v>7567</v>
      </c>
      <c r="F59" s="42">
        <v>8551</v>
      </c>
      <c r="G59" s="49">
        <f t="shared" si="2"/>
        <v>0.88492573967956967</v>
      </c>
      <c r="H59" s="42" t="s">
        <v>41</v>
      </c>
      <c r="I59" s="42">
        <v>2025</v>
      </c>
    </row>
    <row r="60" spans="1:9" x14ac:dyDescent="0.25">
      <c r="A60" s="42" t="str">
        <f t="shared" si="3"/>
        <v>238Marzo2025</v>
      </c>
      <c r="B60" s="42">
        <v>13</v>
      </c>
      <c r="C60" s="42">
        <v>238</v>
      </c>
      <c r="D60" s="48" t="s">
        <v>34</v>
      </c>
      <c r="E60" s="42">
        <v>1724</v>
      </c>
      <c r="F60" s="42">
        <v>1968</v>
      </c>
      <c r="G60" s="49">
        <f t="shared" si="2"/>
        <v>0.87601626016260159</v>
      </c>
      <c r="H60" s="42" t="s">
        <v>41</v>
      </c>
      <c r="I60" s="42">
        <v>2025</v>
      </c>
    </row>
    <row r="61" spans="1:9" x14ac:dyDescent="0.25">
      <c r="A61" s="42" t="str">
        <f t="shared" si="3"/>
        <v>242Marzo2025</v>
      </c>
      <c r="B61" s="42">
        <v>14</v>
      </c>
      <c r="C61" s="42">
        <v>242</v>
      </c>
      <c r="D61" s="48" t="s">
        <v>7</v>
      </c>
      <c r="E61" s="42">
        <v>1564</v>
      </c>
      <c r="F61" s="42">
        <v>1810</v>
      </c>
      <c r="G61" s="49">
        <f t="shared" si="2"/>
        <v>0.8640883977900552</v>
      </c>
      <c r="H61" s="42" t="s">
        <v>41</v>
      </c>
      <c r="I61" s="42">
        <v>2025</v>
      </c>
    </row>
    <row r="62" spans="1:9" x14ac:dyDescent="0.25">
      <c r="A62" s="42" t="str">
        <f t="shared" si="3"/>
        <v>11931Marzo2025</v>
      </c>
      <c r="B62" s="42">
        <v>15</v>
      </c>
      <c r="C62" s="42">
        <v>11931</v>
      </c>
      <c r="D62" s="48" t="s">
        <v>38</v>
      </c>
      <c r="E62" s="42">
        <v>1810</v>
      </c>
      <c r="F62" s="42">
        <v>2098</v>
      </c>
      <c r="G62" s="49">
        <f t="shared" si="2"/>
        <v>0.86272640610104867</v>
      </c>
      <c r="H62" s="42" t="s">
        <v>41</v>
      </c>
      <c r="I62" s="42">
        <v>2025</v>
      </c>
    </row>
    <row r="63" spans="1:9" x14ac:dyDescent="0.25">
      <c r="A63" s="42" t="str">
        <f t="shared" si="3"/>
        <v>10951Marzo2025</v>
      </c>
      <c r="B63" s="42">
        <v>16</v>
      </c>
      <c r="C63" s="42">
        <v>10951</v>
      </c>
      <c r="D63" s="48" t="s">
        <v>24</v>
      </c>
      <c r="E63" s="42">
        <v>786</v>
      </c>
      <c r="F63" s="42">
        <v>926</v>
      </c>
      <c r="G63" s="49">
        <f t="shared" si="2"/>
        <v>0.84881209503239741</v>
      </c>
      <c r="H63" s="42" t="s">
        <v>41</v>
      </c>
      <c r="I63" s="42">
        <v>2025</v>
      </c>
    </row>
    <row r="64" spans="1:9" x14ac:dyDescent="0.25">
      <c r="A64" s="42" t="str">
        <f t="shared" si="3"/>
        <v>237Marzo2025</v>
      </c>
      <c r="B64" s="42">
        <v>17</v>
      </c>
      <c r="C64" s="42">
        <v>237</v>
      </c>
      <c r="D64" s="48" t="s">
        <v>30</v>
      </c>
      <c r="E64" s="42">
        <v>4027</v>
      </c>
      <c r="F64" s="42">
        <v>5025</v>
      </c>
      <c r="G64" s="49">
        <f t="shared" si="2"/>
        <v>0.80139303482587065</v>
      </c>
      <c r="H64" s="42" t="s">
        <v>41</v>
      </c>
      <c r="I64" s="42">
        <v>2025</v>
      </c>
    </row>
    <row r="65" spans="1:9" x14ac:dyDescent="0.25">
      <c r="A65" s="42" t="str">
        <f t="shared" si="3"/>
        <v>243Marzo2025</v>
      </c>
      <c r="B65" s="42">
        <v>18</v>
      </c>
      <c r="C65" s="42">
        <v>243</v>
      </c>
      <c r="D65" s="48" t="s">
        <v>33</v>
      </c>
      <c r="E65" s="42">
        <v>2561</v>
      </c>
      <c r="F65" s="42">
        <v>3531</v>
      </c>
      <c r="G65" s="49">
        <f t="shared" si="2"/>
        <v>0.72529028603794954</v>
      </c>
      <c r="H65" s="42" t="s">
        <v>41</v>
      </c>
      <c r="I65" s="42">
        <v>2025</v>
      </c>
    </row>
    <row r="66" spans="1:9" x14ac:dyDescent="0.25">
      <c r="A66" s="42" t="str">
        <f t="shared" si="3"/>
        <v>12166Marzo2025</v>
      </c>
      <c r="B66" s="42">
        <v>19</v>
      </c>
      <c r="C66" s="42">
        <v>12166</v>
      </c>
      <c r="D66" s="48" t="s">
        <v>64</v>
      </c>
      <c r="E66" s="42">
        <v>869</v>
      </c>
      <c r="F66" s="42">
        <v>1302</v>
      </c>
      <c r="G66" s="49">
        <f t="shared" si="2"/>
        <v>0.66743471582181257</v>
      </c>
      <c r="H66" s="42" t="s">
        <v>41</v>
      </c>
      <c r="I66" s="42">
        <v>2025</v>
      </c>
    </row>
    <row r="67" spans="1:9" x14ac:dyDescent="0.25">
      <c r="A67" s="42" t="str">
        <f t="shared" si="3"/>
        <v>1557Marzo2025</v>
      </c>
      <c r="B67" s="42">
        <v>20</v>
      </c>
      <c r="C67" s="42">
        <v>1557</v>
      </c>
      <c r="D67" s="48" t="s">
        <v>12</v>
      </c>
      <c r="E67" s="42">
        <v>1096</v>
      </c>
      <c r="F67" s="42">
        <v>2117</v>
      </c>
      <c r="G67" s="49">
        <f t="shared" si="2"/>
        <v>0.51771374586679264</v>
      </c>
      <c r="H67" s="42" t="s">
        <v>41</v>
      </c>
      <c r="I67" s="42">
        <v>2025</v>
      </c>
    </row>
    <row r="68" spans="1:9" x14ac:dyDescent="0.25">
      <c r="A68" s="42" t="str">
        <f t="shared" si="3"/>
        <v>234Marzo2025</v>
      </c>
      <c r="B68" s="42">
        <v>21</v>
      </c>
      <c r="C68" s="42">
        <v>234</v>
      </c>
      <c r="D68" s="48" t="s">
        <v>18</v>
      </c>
      <c r="E68" s="42">
        <v>3029</v>
      </c>
      <c r="F68" s="42">
        <v>6396</v>
      </c>
      <c r="G68" s="49">
        <f t="shared" ref="G68:G70" si="4">E68/F68</f>
        <v>0.47357723577235772</v>
      </c>
      <c r="H68" s="42" t="s">
        <v>41</v>
      </c>
      <c r="I68" s="42">
        <v>2025</v>
      </c>
    </row>
    <row r="69" spans="1:9" x14ac:dyDescent="0.25">
      <c r="A69" s="42" t="str">
        <f t="shared" si="3"/>
        <v>28745Marzo2025</v>
      </c>
      <c r="B69" s="42">
        <v>22</v>
      </c>
      <c r="C69" s="42">
        <v>28745</v>
      </c>
      <c r="D69" s="48" t="s">
        <v>6</v>
      </c>
      <c r="E69" s="42">
        <v>509</v>
      </c>
      <c r="F69" s="42">
        <v>1105</v>
      </c>
      <c r="G69" s="49">
        <f t="shared" si="4"/>
        <v>0.4606334841628959</v>
      </c>
      <c r="H69" s="42" t="s">
        <v>41</v>
      </c>
      <c r="I69" s="42">
        <v>2025</v>
      </c>
    </row>
    <row r="70" spans="1:9" x14ac:dyDescent="0.25">
      <c r="A70" s="42" t="str">
        <f t="shared" si="3"/>
        <v>246Marzo2025</v>
      </c>
      <c r="B70" s="42">
        <v>23</v>
      </c>
      <c r="C70" s="42">
        <v>246</v>
      </c>
      <c r="D70" s="48" t="s">
        <v>9</v>
      </c>
      <c r="E70" s="42">
        <v>181</v>
      </c>
      <c r="F70" s="42">
        <v>1785</v>
      </c>
      <c r="G70" s="49">
        <f t="shared" si="4"/>
        <v>0.10140056022408964</v>
      </c>
      <c r="H70" s="42" t="s">
        <v>41</v>
      </c>
      <c r="I70" s="42">
        <v>2025</v>
      </c>
    </row>
  </sheetData>
  <phoneticPr fontId="20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A124-6A06-47BB-AF9F-88ACF2E5DA81}">
  <sheetPr codeName="Hoja3"/>
  <dimension ref="A1:I70"/>
  <sheetViews>
    <sheetView tabSelected="1"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" sqref="D2"/>
    </sheetView>
  </sheetViews>
  <sheetFormatPr baseColWidth="10" defaultColWidth="11.5546875" defaultRowHeight="11.4" x14ac:dyDescent="0.2"/>
  <cols>
    <col min="1" max="1" width="18.6640625" style="45" bestFit="1" customWidth="1"/>
    <col min="2" max="2" width="4.5546875" style="45" bestFit="1" customWidth="1"/>
    <col min="3" max="3" width="11.6640625" style="45" bestFit="1" customWidth="1"/>
    <col min="4" max="4" width="32.33203125" style="45" bestFit="1" customWidth="1"/>
    <col min="5" max="5" width="16.6640625" style="46" customWidth="1"/>
    <col min="6" max="6" width="9.44140625" style="46" bestFit="1" customWidth="1"/>
    <col min="7" max="7" width="10.33203125" style="45" customWidth="1"/>
    <col min="8" max="8" width="9.6640625" style="45" bestFit="1" customWidth="1"/>
    <col min="9" max="9" width="5" style="45" bestFit="1" customWidth="1"/>
    <col min="10" max="16384" width="11.5546875" style="45"/>
  </cols>
  <sheetData>
    <row r="1" spans="1:9" ht="26.4" x14ac:dyDescent="0.2">
      <c r="A1" s="43" t="s">
        <v>72</v>
      </c>
      <c r="B1" s="43" t="s">
        <v>73</v>
      </c>
      <c r="C1" s="43" t="s">
        <v>75</v>
      </c>
      <c r="D1" s="43" t="s">
        <v>74</v>
      </c>
      <c r="E1" s="43" t="s">
        <v>76</v>
      </c>
      <c r="F1" s="43" t="s">
        <v>77</v>
      </c>
      <c r="G1" s="43" t="s">
        <v>5</v>
      </c>
      <c r="H1" s="44" t="s">
        <v>36</v>
      </c>
      <c r="I1" s="44" t="s">
        <v>37</v>
      </c>
    </row>
    <row r="2" spans="1:9" ht="13.8" x14ac:dyDescent="0.25">
      <c r="A2" s="45" t="str">
        <f t="shared" ref="A2:A17" si="0">C2&amp;H2&amp;I2</f>
        <v>11799Enero2025</v>
      </c>
      <c r="B2" s="61">
        <v>1</v>
      </c>
      <c r="C2" s="61">
        <v>11799</v>
      </c>
      <c r="D2" s="62" t="s">
        <v>21</v>
      </c>
      <c r="E2" s="61">
        <v>1803</v>
      </c>
      <c r="F2" s="61">
        <v>1823</v>
      </c>
      <c r="G2" s="53">
        <f t="shared" ref="G2:G43" si="1">E2/F2</f>
        <v>0.98902907295666487</v>
      </c>
      <c r="H2" s="45" t="s">
        <v>39</v>
      </c>
      <c r="I2" s="45">
        <v>2025</v>
      </c>
    </row>
    <row r="3" spans="1:9" ht="13.8" x14ac:dyDescent="0.25">
      <c r="A3" s="45" t="str">
        <f t="shared" si="0"/>
        <v>246Enero2025</v>
      </c>
      <c r="B3" s="61">
        <v>2</v>
      </c>
      <c r="C3" s="61">
        <v>246</v>
      </c>
      <c r="D3" s="62" t="s">
        <v>9</v>
      </c>
      <c r="E3" s="61">
        <v>2687</v>
      </c>
      <c r="F3" s="61">
        <v>2705</v>
      </c>
      <c r="G3" s="53">
        <f t="shared" si="1"/>
        <v>0.99334565619223658</v>
      </c>
      <c r="H3" s="45" t="s">
        <v>39</v>
      </c>
      <c r="I3" s="45">
        <v>2025</v>
      </c>
    </row>
    <row r="4" spans="1:9" ht="13.8" x14ac:dyDescent="0.25">
      <c r="A4" s="45" t="str">
        <f t="shared" si="0"/>
        <v>12165Enero2025</v>
      </c>
      <c r="B4" s="61">
        <v>3</v>
      </c>
      <c r="C4" s="61">
        <v>12165</v>
      </c>
      <c r="D4" s="62" t="s">
        <v>65</v>
      </c>
      <c r="E4" s="61">
        <v>336</v>
      </c>
      <c r="F4" s="61">
        <v>343</v>
      </c>
      <c r="G4" s="53">
        <f t="shared" si="1"/>
        <v>0.97959183673469385</v>
      </c>
      <c r="H4" s="45" t="s">
        <v>39</v>
      </c>
      <c r="I4" s="45">
        <v>2025</v>
      </c>
    </row>
    <row r="5" spans="1:9" ht="13.8" x14ac:dyDescent="0.25">
      <c r="A5" s="45" t="str">
        <f t="shared" si="0"/>
        <v>11117Enero2025</v>
      </c>
      <c r="B5" s="61">
        <v>4</v>
      </c>
      <c r="C5" s="61">
        <v>11117</v>
      </c>
      <c r="D5" s="62" t="s">
        <v>15</v>
      </c>
      <c r="E5" s="61">
        <v>6159</v>
      </c>
      <c r="F5" s="61">
        <v>6507</v>
      </c>
      <c r="G5" s="53">
        <f t="shared" si="1"/>
        <v>0.94651913324112491</v>
      </c>
      <c r="H5" s="45" t="s">
        <v>39</v>
      </c>
      <c r="I5" s="45">
        <v>2025</v>
      </c>
    </row>
    <row r="6" spans="1:9" ht="13.8" x14ac:dyDescent="0.25">
      <c r="A6" s="45" t="str">
        <f t="shared" si="0"/>
        <v>10904Enero2025</v>
      </c>
      <c r="B6" s="61">
        <v>5</v>
      </c>
      <c r="C6" s="61">
        <v>10904</v>
      </c>
      <c r="D6" s="62" t="s">
        <v>28</v>
      </c>
      <c r="E6" s="61">
        <v>1137</v>
      </c>
      <c r="F6" s="61">
        <v>1210</v>
      </c>
      <c r="G6" s="53">
        <f t="shared" si="1"/>
        <v>0.93966942148760335</v>
      </c>
      <c r="H6" s="45" t="s">
        <v>39</v>
      </c>
      <c r="I6" s="45">
        <v>2025</v>
      </c>
    </row>
    <row r="7" spans="1:9" ht="13.8" x14ac:dyDescent="0.25">
      <c r="A7" s="45" t="str">
        <f t="shared" si="0"/>
        <v>241Enero2025</v>
      </c>
      <c r="B7" s="61">
        <v>6</v>
      </c>
      <c r="C7" s="61">
        <v>241</v>
      </c>
      <c r="D7" s="62" t="s">
        <v>29</v>
      </c>
      <c r="E7" s="61">
        <v>1565</v>
      </c>
      <c r="F7" s="61">
        <v>1660</v>
      </c>
      <c r="G7" s="53">
        <f t="shared" si="1"/>
        <v>0.94277108433734935</v>
      </c>
      <c r="H7" s="45" t="s">
        <v>39</v>
      </c>
      <c r="I7" s="45">
        <v>2025</v>
      </c>
    </row>
    <row r="8" spans="1:9" ht="13.8" x14ac:dyDescent="0.25">
      <c r="A8" s="45" t="str">
        <f t="shared" si="0"/>
        <v>11882Enero2025</v>
      </c>
      <c r="B8" s="61">
        <v>7</v>
      </c>
      <c r="C8" s="61">
        <v>11882</v>
      </c>
      <c r="D8" s="62" t="s">
        <v>22</v>
      </c>
      <c r="E8" s="61">
        <v>789</v>
      </c>
      <c r="F8" s="61">
        <v>846</v>
      </c>
      <c r="G8" s="53">
        <f t="shared" si="1"/>
        <v>0.93262411347517726</v>
      </c>
      <c r="H8" s="45" t="s">
        <v>39</v>
      </c>
      <c r="I8" s="45">
        <v>2025</v>
      </c>
    </row>
    <row r="9" spans="1:9" ht="13.8" x14ac:dyDescent="0.25">
      <c r="A9" s="45" t="str">
        <f t="shared" si="0"/>
        <v>240Enero2025</v>
      </c>
      <c r="B9" s="61">
        <v>8</v>
      </c>
      <c r="C9" s="61">
        <v>240</v>
      </c>
      <c r="D9" s="62" t="s">
        <v>23</v>
      </c>
      <c r="E9" s="61">
        <v>2642</v>
      </c>
      <c r="F9" s="61">
        <v>2854</v>
      </c>
      <c r="G9" s="53">
        <f t="shared" si="1"/>
        <v>0.92571829011913109</v>
      </c>
      <c r="H9" s="45" t="s">
        <v>39</v>
      </c>
      <c r="I9" s="45">
        <v>2025</v>
      </c>
    </row>
    <row r="10" spans="1:9" ht="13.8" x14ac:dyDescent="0.25">
      <c r="A10" s="45" t="str">
        <f t="shared" si="0"/>
        <v>234Enero2025</v>
      </c>
      <c r="B10" s="61">
        <v>9</v>
      </c>
      <c r="C10" s="61">
        <v>234</v>
      </c>
      <c r="D10" s="62" t="s">
        <v>18</v>
      </c>
      <c r="E10" s="61">
        <v>3430</v>
      </c>
      <c r="F10" s="61">
        <v>3720</v>
      </c>
      <c r="G10" s="53">
        <f t="shared" si="1"/>
        <v>0.92204301075268813</v>
      </c>
      <c r="H10" s="45" t="s">
        <v>39</v>
      </c>
      <c r="I10" s="45">
        <v>2025</v>
      </c>
    </row>
    <row r="11" spans="1:9" ht="13.8" x14ac:dyDescent="0.25">
      <c r="A11" s="45" t="str">
        <f t="shared" si="0"/>
        <v>11931Enero2025</v>
      </c>
      <c r="B11" s="61">
        <v>10</v>
      </c>
      <c r="C11" s="61">
        <v>11931</v>
      </c>
      <c r="D11" s="62" t="s">
        <v>38</v>
      </c>
      <c r="E11" s="61">
        <v>1899</v>
      </c>
      <c r="F11" s="61">
        <v>2065</v>
      </c>
      <c r="G11" s="53">
        <f t="shared" si="1"/>
        <v>0.91961259079903146</v>
      </c>
      <c r="H11" s="45" t="s">
        <v>39</v>
      </c>
      <c r="I11" s="45">
        <v>2025</v>
      </c>
    </row>
    <row r="12" spans="1:9" ht="13.8" x14ac:dyDescent="0.25">
      <c r="A12" s="45" t="str">
        <f t="shared" si="0"/>
        <v>10951Enero2025</v>
      </c>
      <c r="B12" s="61">
        <v>11</v>
      </c>
      <c r="C12" s="61">
        <v>10951</v>
      </c>
      <c r="D12" s="62" t="s">
        <v>24</v>
      </c>
      <c r="E12" s="61">
        <v>1763</v>
      </c>
      <c r="F12" s="61">
        <v>1950</v>
      </c>
      <c r="G12" s="53">
        <f t="shared" si="1"/>
        <v>0.90410256410256407</v>
      </c>
      <c r="H12" s="45" t="s">
        <v>39</v>
      </c>
      <c r="I12" s="45">
        <v>2025</v>
      </c>
    </row>
    <row r="13" spans="1:9" ht="13.8" x14ac:dyDescent="0.25">
      <c r="A13" s="45" t="str">
        <f t="shared" si="0"/>
        <v>1557Enero2025</v>
      </c>
      <c r="B13" s="61">
        <v>12</v>
      </c>
      <c r="C13" s="61">
        <v>1557</v>
      </c>
      <c r="D13" s="62" t="s">
        <v>12</v>
      </c>
      <c r="E13" s="61">
        <v>1256</v>
      </c>
      <c r="F13" s="61">
        <v>1405</v>
      </c>
      <c r="G13" s="53">
        <f t="shared" si="1"/>
        <v>0.89395017793594311</v>
      </c>
      <c r="H13" s="45" t="s">
        <v>39</v>
      </c>
      <c r="I13" s="45">
        <v>2025</v>
      </c>
    </row>
    <row r="14" spans="1:9" ht="13.8" x14ac:dyDescent="0.25">
      <c r="A14" s="45" t="str">
        <f t="shared" si="0"/>
        <v>235Enero2025</v>
      </c>
      <c r="B14" s="61">
        <v>13</v>
      </c>
      <c r="C14" s="61">
        <v>235</v>
      </c>
      <c r="D14" s="62" t="s">
        <v>32</v>
      </c>
      <c r="E14" s="61">
        <v>2812</v>
      </c>
      <c r="F14" s="61">
        <v>3165</v>
      </c>
      <c r="G14" s="53">
        <f t="shared" si="1"/>
        <v>0.88846761453396528</v>
      </c>
      <c r="H14" s="45" t="s">
        <v>39</v>
      </c>
      <c r="I14" s="45">
        <v>2025</v>
      </c>
    </row>
    <row r="15" spans="1:9" ht="13.8" x14ac:dyDescent="0.25">
      <c r="A15" s="45" t="str">
        <f t="shared" si="0"/>
        <v>11116Enero2025</v>
      </c>
      <c r="B15" s="61">
        <v>14</v>
      </c>
      <c r="C15" s="61">
        <v>11116</v>
      </c>
      <c r="D15" s="62" t="s">
        <v>27</v>
      </c>
      <c r="E15" s="61">
        <v>6531</v>
      </c>
      <c r="F15" s="61">
        <v>7390</v>
      </c>
      <c r="G15" s="53">
        <f t="shared" si="1"/>
        <v>0.88376184032476324</v>
      </c>
      <c r="H15" s="45" t="s">
        <v>39</v>
      </c>
      <c r="I15" s="45">
        <v>2025</v>
      </c>
    </row>
    <row r="16" spans="1:9" ht="13.8" x14ac:dyDescent="0.25">
      <c r="A16" s="45" t="str">
        <f t="shared" si="0"/>
        <v>236Enero2025</v>
      </c>
      <c r="B16" s="61">
        <v>15</v>
      </c>
      <c r="C16" s="61">
        <v>236</v>
      </c>
      <c r="D16" s="62" t="s">
        <v>25</v>
      </c>
      <c r="E16" s="61">
        <v>3236</v>
      </c>
      <c r="F16" s="61">
        <v>3691</v>
      </c>
      <c r="G16" s="53">
        <f t="shared" si="1"/>
        <v>0.87672717420753188</v>
      </c>
      <c r="H16" s="45" t="s">
        <v>39</v>
      </c>
      <c r="I16" s="45">
        <v>2025</v>
      </c>
    </row>
    <row r="17" spans="1:9" ht="13.8" x14ac:dyDescent="0.25">
      <c r="A17" s="45" t="str">
        <f t="shared" si="0"/>
        <v>238Enero2025</v>
      </c>
      <c r="B17" s="61">
        <v>16</v>
      </c>
      <c r="C17" s="61">
        <v>238</v>
      </c>
      <c r="D17" s="62" t="s">
        <v>34</v>
      </c>
      <c r="E17" s="61">
        <v>1787</v>
      </c>
      <c r="F17" s="61">
        <v>2110</v>
      </c>
      <c r="G17" s="53">
        <f t="shared" si="1"/>
        <v>0.84691943127962088</v>
      </c>
      <c r="H17" s="45" t="s">
        <v>39</v>
      </c>
      <c r="I17" s="45">
        <v>2025</v>
      </c>
    </row>
    <row r="18" spans="1:9" ht="13.8" x14ac:dyDescent="0.25">
      <c r="A18" s="45" t="str">
        <f t="shared" ref="A18:A70" si="2">C18&amp;H18&amp;I18</f>
        <v>12166Enero2025</v>
      </c>
      <c r="B18" s="61">
        <v>17</v>
      </c>
      <c r="C18" s="61">
        <v>12166</v>
      </c>
      <c r="D18" s="62" t="s">
        <v>64</v>
      </c>
      <c r="E18" s="61">
        <v>1285</v>
      </c>
      <c r="F18" s="61">
        <v>1572</v>
      </c>
      <c r="G18" s="53">
        <f t="shared" si="1"/>
        <v>0.81743002544529264</v>
      </c>
      <c r="H18" s="45" t="s">
        <v>39</v>
      </c>
      <c r="I18" s="45">
        <v>2025</v>
      </c>
    </row>
    <row r="19" spans="1:9" ht="13.8" x14ac:dyDescent="0.25">
      <c r="A19" s="45" t="str">
        <f t="shared" si="2"/>
        <v>242Enero2025</v>
      </c>
      <c r="B19" s="61">
        <v>18</v>
      </c>
      <c r="C19" s="61">
        <v>242</v>
      </c>
      <c r="D19" s="62" t="s">
        <v>7</v>
      </c>
      <c r="E19" s="61">
        <v>1022</v>
      </c>
      <c r="F19" s="61">
        <v>1344</v>
      </c>
      <c r="G19" s="53">
        <f t="shared" si="1"/>
        <v>0.76041666666666663</v>
      </c>
      <c r="H19" s="45" t="s">
        <v>39</v>
      </c>
      <c r="I19" s="45">
        <v>2025</v>
      </c>
    </row>
    <row r="20" spans="1:9" ht="13.8" x14ac:dyDescent="0.25">
      <c r="A20" s="45" t="str">
        <f t="shared" si="2"/>
        <v>239Enero2025</v>
      </c>
      <c r="B20" s="61">
        <v>19</v>
      </c>
      <c r="C20" s="61">
        <v>239</v>
      </c>
      <c r="D20" s="62" t="s">
        <v>31</v>
      </c>
      <c r="E20" s="61">
        <v>2425</v>
      </c>
      <c r="F20" s="61">
        <v>3390</v>
      </c>
      <c r="G20" s="53">
        <f t="shared" si="1"/>
        <v>0.71533923303834812</v>
      </c>
      <c r="H20" s="45" t="s">
        <v>39</v>
      </c>
      <c r="I20" s="45">
        <v>2025</v>
      </c>
    </row>
    <row r="21" spans="1:9" ht="13.8" x14ac:dyDescent="0.25">
      <c r="A21" s="45" t="str">
        <f t="shared" si="2"/>
        <v>28745Enero2025</v>
      </c>
      <c r="B21" s="61">
        <v>20</v>
      </c>
      <c r="C21" s="61">
        <v>28745</v>
      </c>
      <c r="D21" s="62" t="s">
        <v>6</v>
      </c>
      <c r="E21" s="61">
        <v>306</v>
      </c>
      <c r="F21" s="61">
        <v>464</v>
      </c>
      <c r="G21" s="53">
        <f t="shared" si="1"/>
        <v>0.65948275862068961</v>
      </c>
      <c r="H21" s="45" t="s">
        <v>39</v>
      </c>
      <c r="I21" s="45">
        <v>2025</v>
      </c>
    </row>
    <row r="22" spans="1:9" ht="13.8" x14ac:dyDescent="0.25">
      <c r="A22" s="45" t="str">
        <f t="shared" si="2"/>
        <v>243Enero2025</v>
      </c>
      <c r="B22" s="61">
        <v>21</v>
      </c>
      <c r="C22" s="61">
        <v>243</v>
      </c>
      <c r="D22" s="62" t="s">
        <v>33</v>
      </c>
      <c r="E22" s="61">
        <v>1793</v>
      </c>
      <c r="F22" s="61">
        <v>2950</v>
      </c>
      <c r="G22" s="53">
        <f t="shared" si="1"/>
        <v>0.60779661016949149</v>
      </c>
      <c r="H22" s="45" t="s">
        <v>39</v>
      </c>
      <c r="I22" s="45">
        <v>2025</v>
      </c>
    </row>
    <row r="23" spans="1:9" ht="13.8" x14ac:dyDescent="0.25">
      <c r="A23" s="45" t="str">
        <f t="shared" si="2"/>
        <v>237Enero2025</v>
      </c>
      <c r="B23" s="61">
        <v>22</v>
      </c>
      <c r="C23" s="61">
        <v>237</v>
      </c>
      <c r="D23" s="62" t="s">
        <v>30</v>
      </c>
      <c r="E23" s="61">
        <v>2503</v>
      </c>
      <c r="F23" s="61">
        <v>5097</v>
      </c>
      <c r="G23" s="53">
        <f t="shared" si="1"/>
        <v>0.49107318030213853</v>
      </c>
      <c r="H23" s="45" t="s">
        <v>39</v>
      </c>
      <c r="I23" s="45">
        <v>2025</v>
      </c>
    </row>
    <row r="24" spans="1:9" ht="13.8" x14ac:dyDescent="0.25">
      <c r="A24" s="45" t="str">
        <f t="shared" si="2"/>
        <v>12163Enero2025</v>
      </c>
      <c r="B24" s="61">
        <v>23</v>
      </c>
      <c r="C24" s="61">
        <v>12163</v>
      </c>
      <c r="D24" s="62" t="s">
        <v>66</v>
      </c>
      <c r="E24" s="61">
        <v>507</v>
      </c>
      <c r="F24" s="61">
        <v>1092</v>
      </c>
      <c r="G24" s="53">
        <f t="shared" si="1"/>
        <v>0.4642857142857143</v>
      </c>
      <c r="H24" s="45" t="s">
        <v>39</v>
      </c>
      <c r="I24" s="45">
        <v>2025</v>
      </c>
    </row>
    <row r="25" spans="1:9" x14ac:dyDescent="0.2">
      <c r="A25" s="45" t="str">
        <f t="shared" si="2"/>
        <v>246Febrero2025</v>
      </c>
      <c r="B25" s="45">
        <v>1</v>
      </c>
      <c r="C25" s="45">
        <v>246</v>
      </c>
      <c r="D25" s="45" t="s">
        <v>9</v>
      </c>
      <c r="E25" s="46">
        <v>4457</v>
      </c>
      <c r="F25" s="46">
        <v>4502</v>
      </c>
      <c r="G25" s="53">
        <f t="shared" si="1"/>
        <v>0.99000444247001329</v>
      </c>
      <c r="H25" s="45" t="s">
        <v>40</v>
      </c>
      <c r="I25" s="45">
        <v>2025</v>
      </c>
    </row>
    <row r="26" spans="1:9" x14ac:dyDescent="0.2">
      <c r="A26" s="45" t="str">
        <f t="shared" si="2"/>
        <v>11799Febrero2025</v>
      </c>
      <c r="B26" s="45">
        <v>2</v>
      </c>
      <c r="C26" s="45">
        <v>11799</v>
      </c>
      <c r="D26" s="45" t="s">
        <v>21</v>
      </c>
      <c r="E26" s="46">
        <v>3485</v>
      </c>
      <c r="F26" s="46">
        <v>3570</v>
      </c>
      <c r="G26" s="53">
        <f t="shared" si="1"/>
        <v>0.97619047619047616</v>
      </c>
      <c r="H26" s="45" t="s">
        <v>40</v>
      </c>
      <c r="I26" s="45">
        <v>2025</v>
      </c>
    </row>
    <row r="27" spans="1:9" x14ac:dyDescent="0.2">
      <c r="A27" s="45" t="str">
        <f t="shared" si="2"/>
        <v>11117Febrero2025</v>
      </c>
      <c r="B27" s="45">
        <v>3</v>
      </c>
      <c r="C27" s="45">
        <v>11117</v>
      </c>
      <c r="D27" s="45" t="s">
        <v>15</v>
      </c>
      <c r="E27" s="46">
        <v>12015</v>
      </c>
      <c r="F27" s="46">
        <v>12539</v>
      </c>
      <c r="G27" s="53">
        <f t="shared" si="1"/>
        <v>0.95821038360315813</v>
      </c>
      <c r="H27" s="45" t="s">
        <v>40</v>
      </c>
      <c r="I27" s="45">
        <v>2025</v>
      </c>
    </row>
    <row r="28" spans="1:9" x14ac:dyDescent="0.2">
      <c r="A28" s="45" t="str">
        <f t="shared" si="2"/>
        <v>11882Febrero2025</v>
      </c>
      <c r="B28" s="45">
        <v>4</v>
      </c>
      <c r="C28" s="45">
        <v>11882</v>
      </c>
      <c r="D28" s="45" t="s">
        <v>22</v>
      </c>
      <c r="E28" s="46">
        <v>1496</v>
      </c>
      <c r="F28" s="46">
        <v>1557</v>
      </c>
      <c r="G28" s="53">
        <f t="shared" si="1"/>
        <v>0.96082209377007066</v>
      </c>
      <c r="H28" s="45" t="s">
        <v>40</v>
      </c>
      <c r="I28" s="45">
        <v>2025</v>
      </c>
    </row>
    <row r="29" spans="1:9" x14ac:dyDescent="0.2">
      <c r="A29" s="45" t="str">
        <f t="shared" si="2"/>
        <v>12165Febrero2025</v>
      </c>
      <c r="B29" s="45">
        <v>5</v>
      </c>
      <c r="C29" s="45">
        <v>12165</v>
      </c>
      <c r="D29" s="45" t="s">
        <v>65</v>
      </c>
      <c r="E29" s="46">
        <v>1211</v>
      </c>
      <c r="F29" s="46">
        <v>1266</v>
      </c>
      <c r="G29" s="53">
        <f t="shared" si="1"/>
        <v>0.95655608214849919</v>
      </c>
      <c r="H29" s="45" t="s">
        <v>40</v>
      </c>
      <c r="I29" s="45">
        <v>2025</v>
      </c>
    </row>
    <row r="30" spans="1:9" x14ac:dyDescent="0.2">
      <c r="A30" s="45" t="str">
        <f t="shared" si="2"/>
        <v>10904Febrero2025</v>
      </c>
      <c r="B30" s="45">
        <v>6</v>
      </c>
      <c r="C30" s="45">
        <v>10904</v>
      </c>
      <c r="D30" s="45" t="s">
        <v>28</v>
      </c>
      <c r="E30" s="46">
        <v>2620</v>
      </c>
      <c r="F30" s="46">
        <v>2801</v>
      </c>
      <c r="G30" s="53">
        <f t="shared" si="1"/>
        <v>0.93538022134951804</v>
      </c>
      <c r="H30" s="45" t="s">
        <v>40</v>
      </c>
      <c r="I30" s="45">
        <v>2025</v>
      </c>
    </row>
    <row r="31" spans="1:9" x14ac:dyDescent="0.2">
      <c r="A31" s="45" t="str">
        <f t="shared" si="2"/>
        <v>240Febrero2025</v>
      </c>
      <c r="B31" s="45">
        <v>7</v>
      </c>
      <c r="C31" s="45">
        <v>240</v>
      </c>
      <c r="D31" s="45" t="s">
        <v>23</v>
      </c>
      <c r="E31" s="46">
        <v>5152</v>
      </c>
      <c r="F31" s="46">
        <v>5525</v>
      </c>
      <c r="G31" s="53">
        <f t="shared" si="1"/>
        <v>0.93248868778280547</v>
      </c>
      <c r="H31" s="45" t="s">
        <v>40</v>
      </c>
      <c r="I31" s="45">
        <v>2025</v>
      </c>
    </row>
    <row r="32" spans="1:9" x14ac:dyDescent="0.2">
      <c r="A32" s="45" t="str">
        <f t="shared" si="2"/>
        <v>235Febrero2025</v>
      </c>
      <c r="B32" s="45">
        <v>8</v>
      </c>
      <c r="C32" s="45">
        <v>235</v>
      </c>
      <c r="D32" s="45" t="s">
        <v>32</v>
      </c>
      <c r="E32" s="46">
        <v>4670</v>
      </c>
      <c r="F32" s="46">
        <v>5158</v>
      </c>
      <c r="G32" s="53">
        <f t="shared" si="1"/>
        <v>0.90538968592477709</v>
      </c>
      <c r="H32" s="45" t="s">
        <v>40</v>
      </c>
      <c r="I32" s="45">
        <v>2025</v>
      </c>
    </row>
    <row r="33" spans="1:9" x14ac:dyDescent="0.2">
      <c r="A33" s="45" t="str">
        <f t="shared" si="2"/>
        <v>241Febrero2025</v>
      </c>
      <c r="B33" s="45">
        <v>9</v>
      </c>
      <c r="C33" s="45">
        <v>241</v>
      </c>
      <c r="D33" s="45" t="s">
        <v>29</v>
      </c>
      <c r="E33" s="46">
        <v>2544</v>
      </c>
      <c r="F33" s="46">
        <v>2786</v>
      </c>
      <c r="G33" s="53">
        <f t="shared" si="1"/>
        <v>0.91313711414213927</v>
      </c>
      <c r="H33" s="45" t="s">
        <v>40</v>
      </c>
      <c r="I33" s="45">
        <v>2025</v>
      </c>
    </row>
    <row r="34" spans="1:9" x14ac:dyDescent="0.2">
      <c r="A34" s="45" t="str">
        <f t="shared" si="2"/>
        <v>11931Febrero2025</v>
      </c>
      <c r="B34" s="45">
        <v>10</v>
      </c>
      <c r="C34" s="45">
        <v>11931</v>
      </c>
      <c r="D34" s="45" t="s">
        <v>38</v>
      </c>
      <c r="E34" s="46">
        <v>3619</v>
      </c>
      <c r="F34" s="46">
        <v>3966</v>
      </c>
      <c r="G34" s="53">
        <f t="shared" si="1"/>
        <v>0.91250630358043372</v>
      </c>
      <c r="H34" s="45" t="s">
        <v>40</v>
      </c>
      <c r="I34" s="45">
        <v>2025</v>
      </c>
    </row>
    <row r="35" spans="1:9" x14ac:dyDescent="0.2">
      <c r="A35" s="45" t="str">
        <f t="shared" si="2"/>
        <v>234Febrero2025</v>
      </c>
      <c r="B35" s="45">
        <v>11</v>
      </c>
      <c r="C35" s="45">
        <v>234</v>
      </c>
      <c r="D35" s="45" t="s">
        <v>18</v>
      </c>
      <c r="E35" s="46">
        <v>4396</v>
      </c>
      <c r="F35" s="46">
        <v>4872</v>
      </c>
      <c r="G35" s="53">
        <f t="shared" si="1"/>
        <v>0.9022988505747126</v>
      </c>
      <c r="H35" s="45" t="s">
        <v>40</v>
      </c>
      <c r="I35" s="45">
        <v>2025</v>
      </c>
    </row>
    <row r="36" spans="1:9" x14ac:dyDescent="0.2">
      <c r="A36" s="45" t="str">
        <f t="shared" si="2"/>
        <v>10951Febrero2025</v>
      </c>
      <c r="B36" s="45">
        <v>12</v>
      </c>
      <c r="C36" s="45">
        <v>10951</v>
      </c>
      <c r="D36" s="45" t="s">
        <v>24</v>
      </c>
      <c r="E36" s="46">
        <v>3078</v>
      </c>
      <c r="F36" s="46">
        <v>3456</v>
      </c>
      <c r="G36" s="53">
        <f t="shared" si="1"/>
        <v>0.890625</v>
      </c>
      <c r="H36" s="45" t="s">
        <v>40</v>
      </c>
      <c r="I36" s="45">
        <v>2025</v>
      </c>
    </row>
    <row r="37" spans="1:9" x14ac:dyDescent="0.2">
      <c r="A37" s="45" t="str">
        <f t="shared" si="2"/>
        <v>11116Febrero2025</v>
      </c>
      <c r="B37" s="45">
        <v>13</v>
      </c>
      <c r="C37" s="45">
        <v>11116</v>
      </c>
      <c r="D37" s="45" t="s">
        <v>27</v>
      </c>
      <c r="E37" s="46">
        <v>13432</v>
      </c>
      <c r="F37" s="46">
        <v>15090</v>
      </c>
      <c r="G37" s="53">
        <f t="shared" si="1"/>
        <v>0.89012591119946982</v>
      </c>
      <c r="H37" s="45" t="s">
        <v>40</v>
      </c>
      <c r="I37" s="45">
        <v>2025</v>
      </c>
    </row>
    <row r="38" spans="1:9" x14ac:dyDescent="0.2">
      <c r="A38" s="45" t="str">
        <f t="shared" si="2"/>
        <v>238Febrero2025</v>
      </c>
      <c r="B38" s="45">
        <v>14</v>
      </c>
      <c r="C38" s="45">
        <v>238</v>
      </c>
      <c r="D38" s="45" t="s">
        <v>34</v>
      </c>
      <c r="E38" s="46">
        <v>3018</v>
      </c>
      <c r="F38" s="46">
        <v>3657</v>
      </c>
      <c r="G38" s="53">
        <f t="shared" si="1"/>
        <v>0.82526661197703033</v>
      </c>
      <c r="H38" s="45" t="s">
        <v>40</v>
      </c>
      <c r="I38" s="45">
        <v>2025</v>
      </c>
    </row>
    <row r="39" spans="1:9" x14ac:dyDescent="0.2">
      <c r="A39" s="45" t="str">
        <f t="shared" si="2"/>
        <v>242Febrero2025</v>
      </c>
      <c r="B39" s="45">
        <v>15</v>
      </c>
      <c r="C39" s="45">
        <v>242</v>
      </c>
      <c r="D39" s="45" t="s">
        <v>7</v>
      </c>
      <c r="E39" s="46">
        <v>2824</v>
      </c>
      <c r="F39" s="46">
        <v>3397</v>
      </c>
      <c r="G39" s="53">
        <f t="shared" si="1"/>
        <v>0.83132175448925527</v>
      </c>
      <c r="H39" s="45" t="s">
        <v>40</v>
      </c>
      <c r="I39" s="45">
        <v>2025</v>
      </c>
    </row>
    <row r="40" spans="1:9" x14ac:dyDescent="0.2">
      <c r="A40" s="45" t="str">
        <f t="shared" si="2"/>
        <v>12166Febrero2025</v>
      </c>
      <c r="B40" s="45">
        <v>16</v>
      </c>
      <c r="C40" s="45">
        <v>12166</v>
      </c>
      <c r="D40" s="45" t="s">
        <v>64</v>
      </c>
      <c r="E40" s="46">
        <v>2540</v>
      </c>
      <c r="F40" s="46">
        <v>3080</v>
      </c>
      <c r="G40" s="53">
        <f t="shared" si="1"/>
        <v>0.82467532467532467</v>
      </c>
      <c r="H40" s="45" t="s">
        <v>40</v>
      </c>
      <c r="I40" s="45">
        <v>2025</v>
      </c>
    </row>
    <row r="41" spans="1:9" x14ac:dyDescent="0.2">
      <c r="A41" s="45" t="str">
        <f t="shared" si="2"/>
        <v>236Febrero2025</v>
      </c>
      <c r="B41" s="45">
        <v>17</v>
      </c>
      <c r="C41" s="45">
        <v>236</v>
      </c>
      <c r="D41" s="45" t="s">
        <v>25</v>
      </c>
      <c r="E41" s="46">
        <v>5962</v>
      </c>
      <c r="F41" s="46">
        <v>7235</v>
      </c>
      <c r="G41" s="53">
        <f t="shared" si="1"/>
        <v>0.82404975812024883</v>
      </c>
      <c r="H41" s="45" t="s">
        <v>40</v>
      </c>
      <c r="I41" s="45">
        <v>2025</v>
      </c>
    </row>
    <row r="42" spans="1:9" x14ac:dyDescent="0.2">
      <c r="A42" s="45" t="str">
        <f t="shared" si="2"/>
        <v>239Febrero2025</v>
      </c>
      <c r="B42" s="45">
        <v>18</v>
      </c>
      <c r="C42" s="45">
        <v>239</v>
      </c>
      <c r="D42" s="45" t="s">
        <v>31</v>
      </c>
      <c r="E42" s="46">
        <v>5607</v>
      </c>
      <c r="F42" s="46">
        <v>6811</v>
      </c>
      <c r="G42" s="53">
        <f t="shared" si="1"/>
        <v>0.82322713257965052</v>
      </c>
      <c r="H42" s="45" t="s">
        <v>40</v>
      </c>
      <c r="I42" s="45">
        <v>2025</v>
      </c>
    </row>
    <row r="43" spans="1:9" x14ac:dyDescent="0.2">
      <c r="A43" s="45" t="str">
        <f t="shared" si="2"/>
        <v>28745Febrero2025</v>
      </c>
      <c r="B43" s="45">
        <v>19</v>
      </c>
      <c r="C43" s="45">
        <v>28745</v>
      </c>
      <c r="D43" s="45" t="s">
        <v>6</v>
      </c>
      <c r="E43" s="46">
        <v>695</v>
      </c>
      <c r="F43" s="46">
        <v>883</v>
      </c>
      <c r="G43" s="53">
        <f t="shared" si="1"/>
        <v>0.78708946772366928</v>
      </c>
      <c r="H43" s="45" t="s">
        <v>40</v>
      </c>
      <c r="I43" s="45">
        <v>2025</v>
      </c>
    </row>
    <row r="44" spans="1:9" x14ac:dyDescent="0.2">
      <c r="A44" s="45" t="str">
        <f t="shared" si="2"/>
        <v>1557Febrero2025</v>
      </c>
      <c r="B44" s="45">
        <v>20</v>
      </c>
      <c r="C44" s="45">
        <v>1557</v>
      </c>
      <c r="D44" s="45" t="s">
        <v>12</v>
      </c>
      <c r="E44" s="46">
        <v>1614</v>
      </c>
      <c r="F44" s="46">
        <v>2080</v>
      </c>
      <c r="G44" s="53">
        <f t="shared" ref="G44:G70" si="3">E44/F44</f>
        <v>0.77596153846153848</v>
      </c>
      <c r="H44" s="45" t="s">
        <v>40</v>
      </c>
      <c r="I44" s="45">
        <v>2025</v>
      </c>
    </row>
    <row r="45" spans="1:9" x14ac:dyDescent="0.2">
      <c r="A45" s="45" t="str">
        <f t="shared" si="2"/>
        <v>12163Febrero2025</v>
      </c>
      <c r="B45" s="45">
        <v>21</v>
      </c>
      <c r="C45" s="45">
        <v>12163</v>
      </c>
      <c r="D45" s="45" t="s">
        <v>66</v>
      </c>
      <c r="E45" s="46">
        <v>1604</v>
      </c>
      <c r="F45" s="46">
        <v>2303</v>
      </c>
      <c r="G45" s="53">
        <f t="shared" si="3"/>
        <v>0.69648284845853237</v>
      </c>
      <c r="H45" s="45" t="s">
        <v>40</v>
      </c>
      <c r="I45" s="45">
        <v>2025</v>
      </c>
    </row>
    <row r="46" spans="1:9" x14ac:dyDescent="0.2">
      <c r="A46" s="45" t="str">
        <f t="shared" si="2"/>
        <v>243Febrero2025</v>
      </c>
      <c r="B46" s="45">
        <v>22</v>
      </c>
      <c r="C46" s="45">
        <v>243</v>
      </c>
      <c r="D46" s="45" t="s">
        <v>33</v>
      </c>
      <c r="E46" s="46">
        <v>3798</v>
      </c>
      <c r="F46" s="46">
        <v>5897</v>
      </c>
      <c r="G46" s="53">
        <f t="shared" si="3"/>
        <v>0.64405629981346446</v>
      </c>
      <c r="H46" s="45" t="s">
        <v>40</v>
      </c>
      <c r="I46" s="45">
        <v>2025</v>
      </c>
    </row>
    <row r="47" spans="1:9" x14ac:dyDescent="0.2">
      <c r="A47" s="45" t="str">
        <f t="shared" si="2"/>
        <v>237Febrero2025</v>
      </c>
      <c r="B47" s="45">
        <v>23</v>
      </c>
      <c r="C47" s="45">
        <v>237</v>
      </c>
      <c r="D47" s="45" t="s">
        <v>30</v>
      </c>
      <c r="E47" s="46">
        <v>5599</v>
      </c>
      <c r="F47" s="46">
        <v>10994</v>
      </c>
      <c r="G47" s="53">
        <f t="shared" si="3"/>
        <v>0.50927778788430056</v>
      </c>
      <c r="H47" s="45" t="s">
        <v>40</v>
      </c>
      <c r="I47" s="45">
        <v>2025</v>
      </c>
    </row>
    <row r="48" spans="1:9" x14ac:dyDescent="0.2">
      <c r="A48" s="45" t="str">
        <f t="shared" si="2"/>
        <v>11799Marzo2025</v>
      </c>
      <c r="B48" s="45">
        <v>1</v>
      </c>
      <c r="C48" s="45">
        <v>11799</v>
      </c>
      <c r="D48" s="45" t="s">
        <v>21</v>
      </c>
      <c r="E48" s="46">
        <v>4851</v>
      </c>
      <c r="F48" s="46">
        <v>5022</v>
      </c>
      <c r="G48" s="53">
        <f t="shared" si="3"/>
        <v>0.96594982078853042</v>
      </c>
      <c r="H48" s="45" t="s">
        <v>41</v>
      </c>
      <c r="I48" s="45">
        <v>2025</v>
      </c>
    </row>
    <row r="49" spans="1:9" x14ac:dyDescent="0.2">
      <c r="A49" s="45" t="str">
        <f t="shared" si="2"/>
        <v>11117Marzo2025</v>
      </c>
      <c r="B49" s="45">
        <v>2</v>
      </c>
      <c r="C49" s="45">
        <v>11117</v>
      </c>
      <c r="D49" s="45" t="s">
        <v>15</v>
      </c>
      <c r="E49" s="46">
        <v>18120</v>
      </c>
      <c r="F49" s="46">
        <v>18900</v>
      </c>
      <c r="G49" s="53">
        <f t="shared" si="3"/>
        <v>0.95873015873015877</v>
      </c>
      <c r="H49" s="45" t="s">
        <v>41</v>
      </c>
      <c r="I49" s="45">
        <v>2025</v>
      </c>
    </row>
    <row r="50" spans="1:9" x14ac:dyDescent="0.2">
      <c r="A50" s="45" t="str">
        <f t="shared" si="2"/>
        <v>11882Marzo2025</v>
      </c>
      <c r="B50" s="45">
        <v>3</v>
      </c>
      <c r="C50" s="45">
        <v>11882</v>
      </c>
      <c r="D50" s="45" t="s">
        <v>22</v>
      </c>
      <c r="E50" s="46">
        <v>2319</v>
      </c>
      <c r="F50" s="46">
        <v>2417</v>
      </c>
      <c r="G50" s="53">
        <f t="shared" si="3"/>
        <v>0.95945386843194047</v>
      </c>
      <c r="H50" s="45" t="s">
        <v>41</v>
      </c>
      <c r="I50" s="45">
        <v>2025</v>
      </c>
    </row>
    <row r="51" spans="1:9" x14ac:dyDescent="0.2">
      <c r="A51" s="45" t="str">
        <f t="shared" si="2"/>
        <v>12165Marzo2025</v>
      </c>
      <c r="B51" s="45">
        <v>4</v>
      </c>
      <c r="C51" s="45">
        <v>12165</v>
      </c>
      <c r="D51" s="45" t="s">
        <v>65</v>
      </c>
      <c r="E51" s="46">
        <v>1899</v>
      </c>
      <c r="F51" s="46">
        <v>1985</v>
      </c>
      <c r="G51" s="53">
        <f t="shared" si="3"/>
        <v>0.95667506297229221</v>
      </c>
      <c r="H51" s="45" t="s">
        <v>41</v>
      </c>
      <c r="I51" s="45">
        <v>2025</v>
      </c>
    </row>
    <row r="52" spans="1:9" x14ac:dyDescent="0.2">
      <c r="A52" s="45" t="str">
        <f t="shared" si="2"/>
        <v>10904Marzo2025</v>
      </c>
      <c r="B52" s="45">
        <v>5</v>
      </c>
      <c r="C52" s="45">
        <v>10904</v>
      </c>
      <c r="D52" s="45" t="s">
        <v>28</v>
      </c>
      <c r="E52" s="46">
        <v>3932</v>
      </c>
      <c r="F52" s="46">
        <v>4186</v>
      </c>
      <c r="G52" s="53">
        <f t="shared" si="3"/>
        <v>0.93932154801720014</v>
      </c>
      <c r="H52" s="45" t="s">
        <v>41</v>
      </c>
      <c r="I52" s="45">
        <v>2025</v>
      </c>
    </row>
    <row r="53" spans="1:9" x14ac:dyDescent="0.2">
      <c r="A53" s="45" t="str">
        <f t="shared" si="2"/>
        <v>240Marzo2025</v>
      </c>
      <c r="B53" s="45">
        <v>6</v>
      </c>
      <c r="C53" s="45">
        <v>240</v>
      </c>
      <c r="D53" s="45" t="s">
        <v>23</v>
      </c>
      <c r="E53" s="46">
        <v>7857</v>
      </c>
      <c r="F53" s="46">
        <v>8436</v>
      </c>
      <c r="G53" s="53">
        <f t="shared" si="3"/>
        <v>0.93136557610241821</v>
      </c>
      <c r="H53" s="45" t="s">
        <v>41</v>
      </c>
      <c r="I53" s="45">
        <v>2025</v>
      </c>
    </row>
    <row r="54" spans="1:9" x14ac:dyDescent="0.2">
      <c r="A54" s="45" t="str">
        <f t="shared" si="2"/>
        <v>235Marzo2025</v>
      </c>
      <c r="B54" s="45">
        <v>7</v>
      </c>
      <c r="C54" s="45">
        <v>235</v>
      </c>
      <c r="D54" s="45" t="s">
        <v>32</v>
      </c>
      <c r="E54" s="46">
        <v>6672</v>
      </c>
      <c r="F54" s="46">
        <v>7284</v>
      </c>
      <c r="G54" s="53">
        <f t="shared" si="3"/>
        <v>0.91598023064250411</v>
      </c>
      <c r="H54" s="45" t="s">
        <v>41</v>
      </c>
      <c r="I54" s="45">
        <v>2025</v>
      </c>
    </row>
    <row r="55" spans="1:9" x14ac:dyDescent="0.2">
      <c r="A55" s="45" t="str">
        <f t="shared" si="2"/>
        <v>241Marzo2025</v>
      </c>
      <c r="B55" s="45">
        <v>8</v>
      </c>
      <c r="C55" s="45">
        <v>241</v>
      </c>
      <c r="D55" s="45" t="s">
        <v>29</v>
      </c>
      <c r="E55" s="46">
        <v>3616</v>
      </c>
      <c r="F55" s="46">
        <v>3961</v>
      </c>
      <c r="G55" s="53">
        <f t="shared" si="3"/>
        <v>0.91290078263064878</v>
      </c>
      <c r="H55" s="45" t="s">
        <v>41</v>
      </c>
      <c r="I55" s="45">
        <v>2025</v>
      </c>
    </row>
    <row r="56" spans="1:9" x14ac:dyDescent="0.2">
      <c r="A56" s="45" t="str">
        <f t="shared" si="2"/>
        <v>11931Marzo2025</v>
      </c>
      <c r="B56" s="45">
        <v>9</v>
      </c>
      <c r="C56" s="45">
        <v>11931</v>
      </c>
      <c r="D56" s="45" t="s">
        <v>38</v>
      </c>
      <c r="E56" s="46">
        <v>5429</v>
      </c>
      <c r="F56" s="46">
        <v>6064</v>
      </c>
      <c r="G56" s="53">
        <f t="shared" si="3"/>
        <v>0.89528364116094983</v>
      </c>
      <c r="H56" s="45" t="s">
        <v>41</v>
      </c>
      <c r="I56" s="45">
        <v>2025</v>
      </c>
    </row>
    <row r="57" spans="1:9" x14ac:dyDescent="0.2">
      <c r="A57" s="45" t="str">
        <f t="shared" si="2"/>
        <v>11116Marzo2025</v>
      </c>
      <c r="B57" s="45">
        <v>10</v>
      </c>
      <c r="C57" s="45">
        <v>11116</v>
      </c>
      <c r="D57" s="45" t="s">
        <v>27</v>
      </c>
      <c r="E57" s="46">
        <v>20999</v>
      </c>
      <c r="F57" s="46">
        <v>23641</v>
      </c>
      <c r="G57" s="53">
        <f t="shared" si="3"/>
        <v>0.88824499809652724</v>
      </c>
      <c r="H57" s="45" t="s">
        <v>41</v>
      </c>
      <c r="I57" s="45">
        <v>2025</v>
      </c>
    </row>
    <row r="58" spans="1:9" x14ac:dyDescent="0.2">
      <c r="A58" s="45" t="str">
        <f t="shared" si="2"/>
        <v>10951Marzo2025</v>
      </c>
      <c r="B58" s="45">
        <v>11</v>
      </c>
      <c r="C58" s="45">
        <v>10951</v>
      </c>
      <c r="D58" s="45" t="s">
        <v>24</v>
      </c>
      <c r="E58" s="46">
        <v>3864</v>
      </c>
      <c r="F58" s="46">
        <v>4382</v>
      </c>
      <c r="G58" s="53">
        <f t="shared" si="3"/>
        <v>0.88178913738019171</v>
      </c>
      <c r="H58" s="45" t="s">
        <v>41</v>
      </c>
      <c r="I58" s="45">
        <v>2025</v>
      </c>
    </row>
    <row r="59" spans="1:9" x14ac:dyDescent="0.2">
      <c r="A59" s="45" t="str">
        <f t="shared" si="2"/>
        <v>239Marzo2025</v>
      </c>
      <c r="B59" s="45">
        <v>12</v>
      </c>
      <c r="C59" s="45">
        <v>239</v>
      </c>
      <c r="D59" s="45" t="s">
        <v>31</v>
      </c>
      <c r="E59" s="46">
        <v>9005</v>
      </c>
      <c r="F59" s="46">
        <v>10305</v>
      </c>
      <c r="G59" s="53">
        <f t="shared" si="3"/>
        <v>0.87384764677341098</v>
      </c>
      <c r="H59" s="45" t="s">
        <v>41</v>
      </c>
      <c r="I59" s="45">
        <v>2025</v>
      </c>
    </row>
    <row r="60" spans="1:9" x14ac:dyDescent="0.2">
      <c r="A60" s="45" t="str">
        <f t="shared" si="2"/>
        <v>236Marzo2025</v>
      </c>
      <c r="B60" s="45">
        <v>13</v>
      </c>
      <c r="C60" s="45">
        <v>236</v>
      </c>
      <c r="D60" s="45" t="s">
        <v>25</v>
      </c>
      <c r="E60" s="46">
        <v>9262</v>
      </c>
      <c r="F60" s="46">
        <v>10937</v>
      </c>
      <c r="G60" s="53">
        <f t="shared" si="3"/>
        <v>0.84685014172076434</v>
      </c>
      <c r="H60" s="45" t="s">
        <v>41</v>
      </c>
      <c r="I60" s="45">
        <v>2025</v>
      </c>
    </row>
    <row r="61" spans="1:9" x14ac:dyDescent="0.2">
      <c r="A61" s="45" t="str">
        <f t="shared" si="2"/>
        <v>238Marzo2025</v>
      </c>
      <c r="B61" s="45">
        <v>14</v>
      </c>
      <c r="C61" s="45">
        <v>238</v>
      </c>
      <c r="D61" s="45" t="s">
        <v>34</v>
      </c>
      <c r="E61" s="46">
        <v>4742</v>
      </c>
      <c r="F61" s="46">
        <v>5625</v>
      </c>
      <c r="G61" s="53">
        <f t="shared" si="3"/>
        <v>0.84302222222222223</v>
      </c>
      <c r="H61" s="45" t="s">
        <v>41</v>
      </c>
      <c r="I61" s="45">
        <v>2025</v>
      </c>
    </row>
    <row r="62" spans="1:9" x14ac:dyDescent="0.2">
      <c r="A62" s="45" t="str">
        <f t="shared" si="2"/>
        <v>242Marzo2025</v>
      </c>
      <c r="B62" s="45">
        <v>15</v>
      </c>
      <c r="C62" s="45">
        <v>242</v>
      </c>
      <c r="D62" s="45" t="s">
        <v>7</v>
      </c>
      <c r="E62" s="46">
        <v>4388</v>
      </c>
      <c r="F62" s="46">
        <v>5207</v>
      </c>
      <c r="G62" s="53">
        <f t="shared" si="3"/>
        <v>0.84271173420395618</v>
      </c>
      <c r="H62" s="45" t="s">
        <v>41</v>
      </c>
      <c r="I62" s="45">
        <v>2025</v>
      </c>
    </row>
    <row r="63" spans="1:9" x14ac:dyDescent="0.2">
      <c r="A63" s="45" t="str">
        <f t="shared" si="2"/>
        <v>12163Marzo2025</v>
      </c>
      <c r="B63" s="45">
        <v>16</v>
      </c>
      <c r="C63" s="45">
        <v>12163</v>
      </c>
      <c r="D63" s="45" t="s">
        <v>66</v>
      </c>
      <c r="E63" s="46">
        <v>2890</v>
      </c>
      <c r="F63" s="46">
        <v>3682</v>
      </c>
      <c r="G63" s="53">
        <f t="shared" si="3"/>
        <v>0.78489951113525258</v>
      </c>
      <c r="H63" s="45" t="s">
        <v>41</v>
      </c>
      <c r="I63" s="45">
        <v>2025</v>
      </c>
    </row>
    <row r="64" spans="1:9" x14ac:dyDescent="0.2">
      <c r="A64" s="45" t="str">
        <f t="shared" si="2"/>
        <v>12166Marzo2025</v>
      </c>
      <c r="B64" s="45">
        <v>17</v>
      </c>
      <c r="C64" s="45">
        <v>12166</v>
      </c>
      <c r="D64" s="45" t="s">
        <v>64</v>
      </c>
      <c r="E64" s="46">
        <v>3409</v>
      </c>
      <c r="F64" s="46">
        <v>4382</v>
      </c>
      <c r="G64" s="53">
        <f t="shared" si="3"/>
        <v>0.77795527156549515</v>
      </c>
      <c r="H64" s="45" t="s">
        <v>41</v>
      </c>
      <c r="I64" s="45">
        <v>2025</v>
      </c>
    </row>
    <row r="65" spans="1:9" x14ac:dyDescent="0.2">
      <c r="A65" s="45" t="str">
        <f t="shared" si="2"/>
        <v>246Marzo2025</v>
      </c>
      <c r="B65" s="45">
        <v>18</v>
      </c>
      <c r="C65" s="45">
        <v>246</v>
      </c>
      <c r="D65" s="45" t="s">
        <v>9</v>
      </c>
      <c r="E65" s="46">
        <v>4638</v>
      </c>
      <c r="F65" s="46">
        <v>6287</v>
      </c>
      <c r="G65" s="53">
        <f t="shared" si="3"/>
        <v>0.73771274057579128</v>
      </c>
      <c r="H65" s="45" t="s">
        <v>41</v>
      </c>
      <c r="I65" s="45">
        <v>2025</v>
      </c>
    </row>
    <row r="66" spans="1:9" x14ac:dyDescent="0.2">
      <c r="A66" s="45" t="str">
        <f t="shared" si="2"/>
        <v>243Marzo2025</v>
      </c>
      <c r="B66" s="45">
        <v>19</v>
      </c>
      <c r="C66" s="45">
        <v>243</v>
      </c>
      <c r="D66" s="45" t="s">
        <v>33</v>
      </c>
      <c r="E66" s="46">
        <v>6359</v>
      </c>
      <c r="F66" s="46">
        <v>9428</v>
      </c>
      <c r="G66" s="53">
        <f t="shared" si="3"/>
        <v>0.67448027153160794</v>
      </c>
      <c r="H66" s="45" t="s">
        <v>41</v>
      </c>
      <c r="I66" s="45">
        <v>2025</v>
      </c>
    </row>
    <row r="67" spans="1:9" x14ac:dyDescent="0.2">
      <c r="A67" s="45" t="str">
        <f t="shared" si="2"/>
        <v>234Marzo2025</v>
      </c>
      <c r="B67" s="45">
        <v>20</v>
      </c>
      <c r="C67" s="45">
        <v>234</v>
      </c>
      <c r="D67" s="45" t="s">
        <v>18</v>
      </c>
      <c r="E67" s="46">
        <v>7425</v>
      </c>
      <c r="F67" s="46">
        <v>11268</v>
      </c>
      <c r="G67" s="53">
        <f t="shared" si="3"/>
        <v>0.65894568690095845</v>
      </c>
      <c r="H67" s="45" t="s">
        <v>41</v>
      </c>
      <c r="I67" s="45">
        <v>2025</v>
      </c>
    </row>
    <row r="68" spans="1:9" x14ac:dyDescent="0.2">
      <c r="A68" s="45" t="str">
        <f t="shared" si="2"/>
        <v>1557Marzo2025</v>
      </c>
      <c r="B68" s="45">
        <v>21</v>
      </c>
      <c r="C68" s="45">
        <v>1557</v>
      </c>
      <c r="D68" s="45" t="s">
        <v>12</v>
      </c>
      <c r="E68" s="46">
        <v>2710</v>
      </c>
      <c r="F68" s="46">
        <v>4197</v>
      </c>
      <c r="G68" s="53">
        <f t="shared" si="3"/>
        <v>0.64569930903025974</v>
      </c>
      <c r="H68" s="45" t="s">
        <v>41</v>
      </c>
      <c r="I68" s="45">
        <v>2025</v>
      </c>
    </row>
    <row r="69" spans="1:9" x14ac:dyDescent="0.2">
      <c r="A69" s="45" t="str">
        <f t="shared" si="2"/>
        <v>28745Marzo2025</v>
      </c>
      <c r="B69" s="45">
        <v>22</v>
      </c>
      <c r="C69" s="45">
        <v>28745</v>
      </c>
      <c r="D69" s="45" t="s">
        <v>6</v>
      </c>
      <c r="E69" s="46">
        <v>1204</v>
      </c>
      <c r="F69" s="46">
        <v>1988</v>
      </c>
      <c r="G69" s="53">
        <f t="shared" si="3"/>
        <v>0.60563380281690138</v>
      </c>
      <c r="H69" s="45" t="s">
        <v>41</v>
      </c>
      <c r="I69" s="45">
        <v>2025</v>
      </c>
    </row>
    <row r="70" spans="1:9" x14ac:dyDescent="0.2">
      <c r="A70" s="45" t="str">
        <f t="shared" si="2"/>
        <v>237Marzo2025</v>
      </c>
      <c r="B70" s="45">
        <v>23</v>
      </c>
      <c r="C70" s="45">
        <v>237</v>
      </c>
      <c r="D70" s="45" t="s">
        <v>30</v>
      </c>
      <c r="E70" s="46">
        <v>9626</v>
      </c>
      <c r="F70" s="46">
        <v>16019</v>
      </c>
      <c r="G70" s="53">
        <f t="shared" si="3"/>
        <v>0.60091141769149137</v>
      </c>
      <c r="H70" s="45" t="s">
        <v>41</v>
      </c>
      <c r="I70" s="45">
        <v>2025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90DDF-D9C7-45B9-A78E-C7A9F52D45B0}">
  <sheetPr codeName="Hoja6"/>
  <dimension ref="C3:K9"/>
  <sheetViews>
    <sheetView workbookViewId="0">
      <selection activeCell="D11" sqref="D11"/>
    </sheetView>
  </sheetViews>
  <sheetFormatPr baseColWidth="10" defaultColWidth="11.5546875" defaultRowHeight="13.8" x14ac:dyDescent="0.25"/>
  <cols>
    <col min="1" max="3" width="11.5546875" style="5"/>
    <col min="4" max="4" width="52.44140625" style="10" bestFit="1" customWidth="1"/>
    <col min="5" max="5" width="18.6640625" style="5" bestFit="1" customWidth="1"/>
    <col min="6" max="6" width="11.6640625" style="5" bestFit="1" customWidth="1"/>
    <col min="7" max="16384" width="11.5546875" style="5"/>
  </cols>
  <sheetData>
    <row r="3" spans="3:11" x14ac:dyDescent="0.25">
      <c r="C3" s="3">
        <v>44197</v>
      </c>
      <c r="D3" s="4">
        <v>44347</v>
      </c>
    </row>
    <row r="4" spans="3:11" x14ac:dyDescent="0.25">
      <c r="C4" s="3">
        <f>C3+365</f>
        <v>44562</v>
      </c>
      <c r="D4" s="4">
        <f>D3+365</f>
        <v>44712</v>
      </c>
    </row>
    <row r="5" spans="3:11" x14ac:dyDescent="0.25">
      <c r="D5" s="6" t="s">
        <v>51</v>
      </c>
      <c r="E5" s="7" t="s">
        <v>52</v>
      </c>
      <c r="F5" s="7" t="str">
        <f>"=30/09/2022"</f>
        <v>=30/09/2022</v>
      </c>
    </row>
    <row r="6" spans="3:11" x14ac:dyDescent="0.25">
      <c r="D6" s="6" t="s">
        <v>53</v>
      </c>
      <c r="E6" s="8" t="s">
        <v>54</v>
      </c>
      <c r="F6" s="7" t="str">
        <f>"=30/09/2021"</f>
        <v>=30/09/2021</v>
      </c>
    </row>
    <row r="8" spans="3:11" ht="69" x14ac:dyDescent="0.25">
      <c r="D8" s="11" t="s">
        <v>55</v>
      </c>
      <c r="E8" s="12"/>
      <c r="F8" s="12"/>
      <c r="G8" s="12"/>
      <c r="H8" s="12"/>
      <c r="I8" s="12"/>
      <c r="J8" s="12"/>
      <c r="K8" s="9" t="s">
        <v>56</v>
      </c>
    </row>
    <row r="9" spans="3:11" x14ac:dyDescent="0.25">
      <c r="D9" s="6" t="s">
        <v>57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7EFF5-9C47-4A4C-807C-21D7D7776CBC}">
  <sheetPr codeName="Hoja7"/>
  <dimension ref="A1:C17"/>
  <sheetViews>
    <sheetView workbookViewId="0">
      <selection activeCell="L11" sqref="L11"/>
    </sheetView>
  </sheetViews>
  <sheetFormatPr baseColWidth="10" defaultColWidth="11.5546875" defaultRowHeight="11.4" x14ac:dyDescent="0.2"/>
  <cols>
    <col min="1" max="1" width="17.5546875" style="45" bestFit="1" customWidth="1"/>
    <col min="2" max="2" width="29.6640625" style="46" bestFit="1" customWidth="1"/>
    <col min="3" max="3" width="13.5546875" style="45" bestFit="1" customWidth="1"/>
    <col min="4" max="16384" width="11.5546875" style="45"/>
  </cols>
  <sheetData>
    <row r="1" spans="1:3" x14ac:dyDescent="0.2">
      <c r="A1" s="56" t="s">
        <v>2</v>
      </c>
      <c r="B1" s="46" t="s">
        <v>34</v>
      </c>
    </row>
    <row r="2" spans="1:3" x14ac:dyDescent="0.2">
      <c r="A2" s="56" t="s">
        <v>37</v>
      </c>
      <c r="B2" s="47">
        <v>2023</v>
      </c>
    </row>
    <row r="3" spans="1:3" ht="13.8" x14ac:dyDescent="0.25">
      <c r="A3" s="57"/>
      <c r="B3" s="57"/>
      <c r="C3" s="57"/>
    </row>
    <row r="4" spans="1:3" ht="13.8" x14ac:dyDescent="0.25">
      <c r="A4" s="56" t="s">
        <v>58</v>
      </c>
      <c r="B4" s="46" t="s">
        <v>59</v>
      </c>
      <c r="C4" s="57"/>
    </row>
    <row r="5" spans="1:3" ht="13.8" x14ac:dyDescent="0.25">
      <c r="A5" s="47" t="s">
        <v>39</v>
      </c>
      <c r="B5" s="46">
        <v>1.4689265536723164E-2</v>
      </c>
      <c r="C5" s="57"/>
    </row>
    <row r="6" spans="1:3" ht="13.8" x14ac:dyDescent="0.25">
      <c r="A6" s="47" t="s">
        <v>40</v>
      </c>
      <c r="B6" s="46">
        <v>2.1660649819494584E-2</v>
      </c>
      <c r="C6" s="57"/>
    </row>
    <row r="7" spans="1:3" ht="13.8" x14ac:dyDescent="0.25">
      <c r="A7" s="47" t="s">
        <v>41</v>
      </c>
      <c r="B7" s="46">
        <v>0.63977695167286242</v>
      </c>
      <c r="C7" s="57"/>
    </row>
    <row r="8" spans="1:3" ht="13.8" x14ac:dyDescent="0.25">
      <c r="A8" s="47" t="s">
        <v>42</v>
      </c>
      <c r="B8" s="46">
        <v>0.88064733648010785</v>
      </c>
      <c r="C8" s="57"/>
    </row>
    <row r="9" spans="1:3" ht="13.8" x14ac:dyDescent="0.25">
      <c r="A9" s="47" t="s">
        <v>43</v>
      </c>
      <c r="B9" s="46">
        <v>0.90623145400593474</v>
      </c>
      <c r="C9" s="57"/>
    </row>
    <row r="10" spans="1:3" ht="13.8" x14ac:dyDescent="0.25">
      <c r="A10" s="47" t="s">
        <v>44</v>
      </c>
      <c r="B10" s="46">
        <v>0.86055469953775043</v>
      </c>
      <c r="C10" s="57"/>
    </row>
    <row r="11" spans="1:3" ht="13.8" x14ac:dyDescent="0.25">
      <c r="A11" s="47" t="s">
        <v>45</v>
      </c>
      <c r="B11" s="46">
        <v>0.53872053872053871</v>
      </c>
      <c r="C11" s="57"/>
    </row>
    <row r="12" spans="1:3" ht="13.8" x14ac:dyDescent="0.25">
      <c r="A12" s="47" t="s">
        <v>46</v>
      </c>
      <c r="B12" s="46">
        <v>0.51206715634837352</v>
      </c>
      <c r="C12" s="57"/>
    </row>
    <row r="13" spans="1:3" ht="13.8" x14ac:dyDescent="0.25">
      <c r="A13" s="47" t="s">
        <v>47</v>
      </c>
      <c r="B13" s="46">
        <v>0.69938065745593136</v>
      </c>
      <c r="C13" s="57"/>
    </row>
    <row r="14" spans="1:3" ht="13.8" x14ac:dyDescent="0.25">
      <c r="A14" s="47" t="s">
        <v>60</v>
      </c>
      <c r="B14" s="46">
        <v>5.0737287095777166</v>
      </c>
      <c r="C14" s="57"/>
    </row>
    <row r="15" spans="1:3" ht="13.8" x14ac:dyDescent="0.25">
      <c r="A15" s="57"/>
      <c r="B15" s="57"/>
      <c r="C15" s="57"/>
    </row>
    <row r="16" spans="1:3" ht="13.8" x14ac:dyDescent="0.25">
      <c r="A16" s="57"/>
      <c r="B16" s="57"/>
      <c r="C16" s="57"/>
    </row>
    <row r="17" spans="1:2" ht="13.8" x14ac:dyDescent="0.25">
      <c r="A17" s="57"/>
      <c r="B17" s="57"/>
    </row>
  </sheetData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600BB-8BCA-47A7-8892-D5C7206221B3}">
  <sheetPr codeName="Hoja8"/>
  <dimension ref="A1:C17"/>
  <sheetViews>
    <sheetView workbookViewId="0">
      <selection activeCell="M9" sqref="M9"/>
    </sheetView>
  </sheetViews>
  <sheetFormatPr baseColWidth="10" defaultColWidth="11.5546875" defaultRowHeight="11.4" x14ac:dyDescent="0.2"/>
  <cols>
    <col min="1" max="1" width="19.109375" style="1" bestFit="1" customWidth="1"/>
    <col min="2" max="2" width="30.6640625" style="2" bestFit="1" customWidth="1"/>
    <col min="3" max="3" width="13.5546875" style="1" bestFit="1" customWidth="1"/>
    <col min="4" max="16384" width="11.5546875" style="1"/>
  </cols>
  <sheetData>
    <row r="1" spans="1:3" x14ac:dyDescent="0.2">
      <c r="A1" s="58" t="s">
        <v>2</v>
      </c>
      <c r="B1" s="59" t="s">
        <v>18</v>
      </c>
    </row>
    <row r="2" spans="1:3" x14ac:dyDescent="0.2">
      <c r="A2" s="58" t="s">
        <v>37</v>
      </c>
      <c r="B2" s="60">
        <v>2023</v>
      </c>
    </row>
    <row r="3" spans="1:3" ht="14.4" x14ac:dyDescent="0.3">
      <c r="A3"/>
      <c r="B3"/>
      <c r="C3"/>
    </row>
    <row r="4" spans="1:3" ht="14.4" x14ac:dyDescent="0.3">
      <c r="A4" s="58" t="s">
        <v>58</v>
      </c>
      <c r="B4" s="59" t="s">
        <v>63</v>
      </c>
      <c r="C4"/>
    </row>
    <row r="5" spans="1:3" ht="14.4" x14ac:dyDescent="0.3">
      <c r="A5" s="60" t="s">
        <v>39</v>
      </c>
      <c r="B5" s="59">
        <v>1103</v>
      </c>
      <c r="C5"/>
    </row>
    <row r="6" spans="1:3" ht="14.4" x14ac:dyDescent="0.3">
      <c r="A6" s="60" t="s">
        <v>40</v>
      </c>
      <c r="B6" s="59">
        <v>1738</v>
      </c>
      <c r="C6"/>
    </row>
    <row r="7" spans="1:3" ht="14.4" x14ac:dyDescent="0.3">
      <c r="A7" s="60" t="s">
        <v>41</v>
      </c>
      <c r="B7" s="59">
        <v>3976</v>
      </c>
      <c r="C7"/>
    </row>
    <row r="8" spans="1:3" ht="14.4" x14ac:dyDescent="0.3">
      <c r="A8" s="60" t="s">
        <v>42</v>
      </c>
      <c r="B8" s="59">
        <v>3391</v>
      </c>
      <c r="C8"/>
    </row>
    <row r="9" spans="1:3" ht="14.4" x14ac:dyDescent="0.3">
      <c r="A9" s="60" t="s">
        <v>43</v>
      </c>
      <c r="B9" s="59">
        <v>2532</v>
      </c>
      <c r="C9"/>
    </row>
    <row r="10" spans="1:3" ht="14.4" x14ac:dyDescent="0.3">
      <c r="A10" s="60" t="s">
        <v>44</v>
      </c>
      <c r="B10" s="59">
        <v>3567</v>
      </c>
      <c r="C10"/>
    </row>
    <row r="11" spans="1:3" ht="14.4" x14ac:dyDescent="0.3">
      <c r="A11" s="60" t="s">
        <v>45</v>
      </c>
      <c r="B11" s="59">
        <v>3201</v>
      </c>
      <c r="C11"/>
    </row>
    <row r="12" spans="1:3" ht="14.4" x14ac:dyDescent="0.3">
      <c r="A12" s="60" t="s">
        <v>46</v>
      </c>
      <c r="B12" s="59">
        <v>3600</v>
      </c>
      <c r="C12"/>
    </row>
    <row r="13" spans="1:3" ht="14.4" x14ac:dyDescent="0.3">
      <c r="A13" s="60" t="s">
        <v>47</v>
      </c>
      <c r="B13" s="59">
        <v>3009</v>
      </c>
      <c r="C13"/>
    </row>
    <row r="14" spans="1:3" ht="14.4" x14ac:dyDescent="0.3">
      <c r="A14" s="60" t="s">
        <v>60</v>
      </c>
      <c r="B14" s="59">
        <v>26117</v>
      </c>
      <c r="C14"/>
    </row>
    <row r="15" spans="1:3" ht="14.4" x14ac:dyDescent="0.3">
      <c r="A15"/>
      <c r="B15"/>
      <c r="C15"/>
    </row>
    <row r="16" spans="1:3" ht="14.4" x14ac:dyDescent="0.3">
      <c r="A16"/>
      <c r="B16"/>
      <c r="C16"/>
    </row>
    <row r="17" spans="1:2" ht="14.4" x14ac:dyDescent="0.3">
      <c r="A17"/>
      <c r="B17"/>
    </row>
  </sheetData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22"/>
  <sheetViews>
    <sheetView topLeftCell="A9" workbookViewId="0">
      <selection activeCell="B20" sqref="B20:C22"/>
    </sheetView>
  </sheetViews>
  <sheetFormatPr baseColWidth="10" defaultColWidth="11.44140625" defaultRowHeight="13.8" x14ac:dyDescent="0.25"/>
  <cols>
    <col min="1" max="1" width="5.109375" style="71" bestFit="1" customWidth="1"/>
    <col min="2" max="2" width="10.88671875" style="71" bestFit="1" customWidth="1"/>
    <col min="3" max="3" width="34.88671875" style="71" bestFit="1" customWidth="1"/>
    <col min="4" max="16384" width="11.44140625" style="71"/>
  </cols>
  <sheetData>
    <row r="1" spans="1:6" ht="22.8" x14ac:dyDescent="0.25">
      <c r="A1" s="66" t="s">
        <v>0</v>
      </c>
      <c r="B1" s="66" t="s">
        <v>1</v>
      </c>
      <c r="C1" s="66" t="s">
        <v>2</v>
      </c>
      <c r="E1" s="65" t="s">
        <v>61</v>
      </c>
      <c r="F1" s="65" t="s">
        <v>62</v>
      </c>
    </row>
    <row r="2" spans="1:6" x14ac:dyDescent="0.25">
      <c r="A2" s="70">
        <v>2</v>
      </c>
      <c r="B2" s="70">
        <v>11116</v>
      </c>
      <c r="C2" s="68" t="s">
        <v>27</v>
      </c>
      <c r="D2" s="71">
        <v>1</v>
      </c>
      <c r="E2" s="71" t="s">
        <v>39</v>
      </c>
    </row>
    <row r="3" spans="1:6" x14ac:dyDescent="0.25">
      <c r="A3" s="70">
        <v>3</v>
      </c>
      <c r="B3" s="70">
        <v>234</v>
      </c>
      <c r="C3" s="68" t="s">
        <v>18</v>
      </c>
      <c r="D3" s="71">
        <v>2</v>
      </c>
      <c r="E3" s="71" t="s">
        <v>40</v>
      </c>
    </row>
    <row r="4" spans="1:6" x14ac:dyDescent="0.25">
      <c r="A4" s="70">
        <v>4</v>
      </c>
      <c r="B4" s="70">
        <v>11117</v>
      </c>
      <c r="C4" s="68" t="s">
        <v>15</v>
      </c>
      <c r="D4" s="71">
        <v>3</v>
      </c>
      <c r="E4" s="71" t="s">
        <v>41</v>
      </c>
    </row>
    <row r="5" spans="1:6" x14ac:dyDescent="0.25">
      <c r="A5" s="70">
        <v>5</v>
      </c>
      <c r="B5" s="70">
        <v>240</v>
      </c>
      <c r="C5" s="68" t="s">
        <v>23</v>
      </c>
      <c r="D5" s="71">
        <v>4</v>
      </c>
      <c r="E5" s="71" t="s">
        <v>42</v>
      </c>
    </row>
    <row r="6" spans="1:6" x14ac:dyDescent="0.25">
      <c r="A6" s="70">
        <v>6</v>
      </c>
      <c r="B6" s="70">
        <v>10951</v>
      </c>
      <c r="C6" s="68" t="s">
        <v>24</v>
      </c>
      <c r="D6" s="71">
        <v>5</v>
      </c>
      <c r="E6" s="71" t="s">
        <v>43</v>
      </c>
    </row>
    <row r="7" spans="1:6" x14ac:dyDescent="0.25">
      <c r="A7" s="70">
        <v>7</v>
      </c>
      <c r="B7" s="70">
        <v>10904</v>
      </c>
      <c r="C7" s="68" t="s">
        <v>28</v>
      </c>
      <c r="D7" s="71">
        <v>6</v>
      </c>
      <c r="E7" s="71" t="s">
        <v>44</v>
      </c>
    </row>
    <row r="8" spans="1:6" x14ac:dyDescent="0.25">
      <c r="A8" s="70">
        <v>8</v>
      </c>
      <c r="B8" s="70">
        <v>237</v>
      </c>
      <c r="C8" s="68" t="s">
        <v>30</v>
      </c>
      <c r="D8" s="71">
        <v>7</v>
      </c>
      <c r="E8" s="71" t="s">
        <v>45</v>
      </c>
    </row>
    <row r="9" spans="1:6" x14ac:dyDescent="0.25">
      <c r="A9" s="70">
        <v>9</v>
      </c>
      <c r="B9" s="70">
        <v>239</v>
      </c>
      <c r="C9" s="68" t="s">
        <v>31</v>
      </c>
      <c r="D9" s="71">
        <v>8</v>
      </c>
      <c r="E9" s="71" t="s">
        <v>46</v>
      </c>
    </row>
    <row r="10" spans="1:6" x14ac:dyDescent="0.25">
      <c r="A10" s="70">
        <v>10</v>
      </c>
      <c r="B10" s="70">
        <v>1557</v>
      </c>
      <c r="C10" s="68" t="s">
        <v>12</v>
      </c>
      <c r="D10" s="71">
        <v>9</v>
      </c>
      <c r="E10" s="71" t="s">
        <v>47</v>
      </c>
    </row>
    <row r="11" spans="1:6" x14ac:dyDescent="0.25">
      <c r="A11" s="70">
        <v>11</v>
      </c>
      <c r="B11" s="70">
        <v>236</v>
      </c>
      <c r="C11" s="68" t="s">
        <v>25</v>
      </c>
      <c r="D11" s="71">
        <v>10</v>
      </c>
      <c r="E11" s="71" t="s">
        <v>48</v>
      </c>
    </row>
    <row r="12" spans="1:6" x14ac:dyDescent="0.25">
      <c r="A12" s="70">
        <v>12</v>
      </c>
      <c r="B12" s="70">
        <v>246</v>
      </c>
      <c r="C12" s="68" t="s">
        <v>9</v>
      </c>
      <c r="D12" s="71">
        <v>11</v>
      </c>
      <c r="E12" s="71" t="s">
        <v>49</v>
      </c>
    </row>
    <row r="13" spans="1:6" x14ac:dyDescent="0.25">
      <c r="A13" s="70">
        <v>13</v>
      </c>
      <c r="B13" s="70">
        <v>11799</v>
      </c>
      <c r="C13" s="68" t="s">
        <v>21</v>
      </c>
      <c r="D13" s="71">
        <v>12</v>
      </c>
      <c r="E13" s="71" t="s">
        <v>50</v>
      </c>
    </row>
    <row r="14" spans="1:6" x14ac:dyDescent="0.25">
      <c r="A14" s="70">
        <v>14</v>
      </c>
      <c r="B14" s="70">
        <v>242</v>
      </c>
      <c r="C14" s="68" t="s">
        <v>7</v>
      </c>
    </row>
    <row r="15" spans="1:6" x14ac:dyDescent="0.25">
      <c r="A15" s="70">
        <v>15</v>
      </c>
      <c r="B15" s="70">
        <v>243</v>
      </c>
      <c r="C15" s="68" t="s">
        <v>33</v>
      </c>
    </row>
    <row r="16" spans="1:6" x14ac:dyDescent="0.25">
      <c r="A16" s="70">
        <v>16</v>
      </c>
      <c r="B16" s="70">
        <v>235</v>
      </c>
      <c r="C16" s="68" t="s">
        <v>32</v>
      </c>
    </row>
    <row r="17" spans="1:3" x14ac:dyDescent="0.25">
      <c r="A17" s="70">
        <v>17</v>
      </c>
      <c r="B17" s="70">
        <v>241</v>
      </c>
      <c r="C17" s="68" t="s">
        <v>29</v>
      </c>
    </row>
    <row r="18" spans="1:3" x14ac:dyDescent="0.25">
      <c r="A18" s="70">
        <v>18</v>
      </c>
      <c r="B18" s="70">
        <v>238</v>
      </c>
      <c r="C18" s="68" t="s">
        <v>34</v>
      </c>
    </row>
    <row r="19" spans="1:3" x14ac:dyDescent="0.25">
      <c r="A19" s="70">
        <v>19</v>
      </c>
      <c r="B19" s="70">
        <v>11882</v>
      </c>
      <c r="C19" s="68" t="s">
        <v>22</v>
      </c>
    </row>
    <row r="20" spans="1:3" x14ac:dyDescent="0.25">
      <c r="A20" s="72">
        <v>20</v>
      </c>
      <c r="B20" s="70" t="s">
        <v>67</v>
      </c>
      <c r="C20" s="69" t="s">
        <v>66</v>
      </c>
    </row>
    <row r="21" spans="1:3" x14ac:dyDescent="0.25">
      <c r="A21" s="72">
        <v>21</v>
      </c>
      <c r="B21" s="70" t="s">
        <v>68</v>
      </c>
      <c r="C21" s="69" t="s">
        <v>64</v>
      </c>
    </row>
    <row r="22" spans="1:3" x14ac:dyDescent="0.25">
      <c r="A22" s="72">
        <v>22</v>
      </c>
      <c r="B22" s="70" t="s">
        <v>69</v>
      </c>
      <c r="C22" s="69" t="s">
        <v>65</v>
      </c>
    </row>
  </sheetData>
  <phoneticPr fontId="20" type="noConversion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4</vt:i4>
      </vt:variant>
    </vt:vector>
  </HeadingPairs>
  <TitlesOfParts>
    <vt:vector size="12" baseType="lpstr">
      <vt:lpstr>Oportunidad_Anual</vt:lpstr>
      <vt:lpstr>Oportunidad_Mensual</vt:lpstr>
      <vt:lpstr>Data_Mensual</vt:lpstr>
      <vt:lpstr>Data_Anual</vt:lpstr>
      <vt:lpstr>Hoja1</vt:lpstr>
      <vt:lpstr>Grafico Por PPDD-Mes</vt:lpstr>
      <vt:lpstr>Grafico Produccion Por Año</vt:lpstr>
      <vt:lpstr>Tablas</vt:lpstr>
      <vt:lpstr>Oportunidad_Anual!Área_de_impresión</vt:lpstr>
      <vt:lpstr>Oportunidad_Mensual!Área_de_impresión</vt:lpstr>
      <vt:lpstr>Oportunidad_Mensual!BaseDeDatos</vt:lpstr>
      <vt:lpstr>BaseDeDatos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Lenin</dc:creator>
  <cp:keywords/>
  <dc:description/>
  <cp:lastModifiedBy>Lenin Gamonal</cp:lastModifiedBy>
  <cp:revision/>
  <dcterms:created xsi:type="dcterms:W3CDTF">2021-03-16T02:52:44Z</dcterms:created>
  <dcterms:modified xsi:type="dcterms:W3CDTF">2025-10-17T13:27:52Z</dcterms:modified>
  <cp:category/>
  <cp:contentStatus/>
</cp:coreProperties>
</file>